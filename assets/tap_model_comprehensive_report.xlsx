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P Model Overview" sheetId="1" state="visible" r:id="rId1"/>
    <sheet xmlns:r="http://schemas.openxmlformats.org/officeDocument/2006/relationships" name="99 Objections Tribunal" sheetId="2" state="visible" r:id="rId2"/>
    <sheet xmlns:r="http://schemas.openxmlformats.org/officeDocument/2006/relationships" name="Cascade Sweeps" sheetId="3" state="visible" r:id="rId3"/>
    <sheet xmlns:r="http://schemas.openxmlformats.org/officeDocument/2006/relationships" name="D1_Spacetime_Point" sheetId="4" state="visible" r:id="rId4"/>
    <sheet xmlns:r="http://schemas.openxmlformats.org/officeDocument/2006/relationships" name="D2_Temporal_Phase" sheetId="5" state="visible" r:id="rId5"/>
    <sheet xmlns:r="http://schemas.openxmlformats.org/officeDocument/2006/relationships" name="D3_Spatial_Brane" sheetId="6" state="visible" r:id="rId6"/>
    <sheet xmlns:r="http://schemas.openxmlformats.org/officeDocument/2006/relationships" name="D4_Relativistic_Spacetime" sheetId="7" state="visible" r:id="rId7"/>
    <sheet xmlns:r="http://schemas.openxmlformats.org/officeDocument/2006/relationships" name="D5_AdS_Bulk_Channel" sheetId="8" state="visible" r:id="rId8"/>
    <sheet xmlns:r="http://schemas.openxmlformats.org/officeDocument/2006/relationships" name="D6_Calabi-Yau_Base" sheetId="9" state="visible" r:id="rId9"/>
    <sheet xmlns:r="http://schemas.openxmlformats.org/officeDocument/2006/relationships" name="D7_M-Theory_7-Sphere" sheetId="10" state="visible" r:id="rId10"/>
    <sheet xmlns:r="http://schemas.openxmlformats.org/officeDocument/2006/relationships" name="D8_Boundary_Width" sheetId="11" state="visible" r:id="rId11"/>
    <sheet xmlns:r="http://schemas.openxmlformats.org/officeDocument/2006/relationships" name="D9_Weyl_Curvature" sheetId="12" state="visible" r:id="rId12"/>
    <sheet xmlns:r="http://schemas.openxmlformats.org/officeDocument/2006/relationships" name="D10_Superstring_Base" sheetId="13" state="visible" r:id="rId13"/>
    <sheet xmlns:r="http://schemas.openxmlformats.org/officeDocument/2006/relationships" name="D11_M-Theory_Bulk" sheetId="14" state="visible" r:id="rId14"/>
    <sheet xmlns:r="http://schemas.openxmlformats.org/officeDocument/2006/relationships" name="D12_F-Theory_Projection" sheetId="15" state="visible" r:id="rId15"/>
    <sheet xmlns:r="http://schemas.openxmlformats.org/officeDocument/2006/relationships" name="D13_Saturation_Ceilin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00E+0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i val="1"/>
      <sz val="10"/>
    </font>
    <font>
      <name val="Segoe UI"/>
      <color rgb="00006100"/>
      <sz val="10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3" borderId="1" pivotButton="0" quotePrefix="0" xfId="0"/>
    <xf numFmtId="164" fontId="3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11" fontId="3" fillId="3" borderId="1" pivotButton="0" quotePrefix="0" xfId="0"/>
    <xf numFmtId="11" fontId="3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0" fontId="3" fillId="0" borderId="1" pivotButton="0" quotePrefix="0" xfId="0"/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10" fontId="3" fillId="3" borderId="1" pivotButton="0" quotePrefix="0" xfId="0"/>
    <xf numFmtId="165" fontId="3" fillId="3" borderId="1" pivotButton="0" quotePrefix="0" xfId="0"/>
    <xf numFmtId="165" fontId="3" fillId="0" borderId="1" pivotButton="0" quotePrefix="0" xfId="0"/>
    <xf numFmtId="0" fontId="0" fillId="0" borderId="2" pivotButton="0" quotePrefix="0" xfId="0"/>
    <xf numFmtId="0" fontId="6" fillId="0" borderId="2" applyAlignment="1" pivotButton="0" quotePrefix="0" xfId="0">
      <alignment horizontal="right"/>
    </xf>
    <xf numFmtId="0" fontId="6" fillId="0" borderId="2" pivotButton="0" quotePrefix="0" xfId="0"/>
    <xf numFmtId="10" fontId="6" fillId="0" borderId="2" pivotButton="0" quotePrefix="0" xfId="0"/>
    <xf numFmtId="0" fontId="2" fillId="2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2" fontId="3" fillId="0" borderId="1" pivotButton="0" quotePrefix="0" xfId="0"/>
    <xf numFmtId="2" fontId="3" fillId="3" borderId="1" pivotButton="0" quotePrefix="0" xfId="0"/>
    <xf numFmtId="0" fontId="6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Topological Action Physics (TAP) Model Overview</t>
        </is>
      </c>
    </row>
    <row r="2"/>
    <row r="3"/>
    <row r="4">
      <c r="A4" s="2" t="inlineStr">
        <is>
          <t>Parameter</t>
        </is>
      </c>
      <c r="B4" s="2" t="inlineStr">
        <is>
          <t>Symbol / Equation</t>
        </is>
      </c>
      <c r="C4" s="2" t="inlineStr">
        <is>
          <t>Value</t>
        </is>
      </c>
      <c r="D4" s="2" t="inlineStr">
        <is>
          <t>Description</t>
        </is>
      </c>
    </row>
    <row r="5">
      <c r="A5" s="3" t="inlineStr">
        <is>
          <t>Golden Ratio (Base Parameter)</t>
        </is>
      </c>
      <c r="B5" s="3" t="inlineStr">
        <is>
          <t>phi</t>
        </is>
      </c>
      <c r="C5" s="4" t="n">
        <v>1.618033988749895</v>
      </c>
      <c r="D5" s="3" t="inlineStr">
        <is>
          <t>Fundamental geometric scale factor of the 13D compactified flavor manifold.</t>
        </is>
      </c>
    </row>
    <row r="6">
      <c r="A6" s="5" t="inlineStr">
        <is>
          <t>Bulk Dimension</t>
        </is>
      </c>
      <c r="B6" s="5" t="inlineStr">
        <is>
          <t>D</t>
        </is>
      </c>
      <c r="C6" s="6" t="n">
        <v>13</v>
      </c>
      <c r="D6" s="5" t="inlineStr">
        <is>
          <t>Total number of dimensions in topological saturation limit.</t>
        </is>
      </c>
    </row>
    <row r="7">
      <c r="A7" s="3" t="inlineStr">
        <is>
          <t>Planck Mass Scale</t>
        </is>
      </c>
      <c r="B7" s="3" t="inlineStr">
        <is>
          <t>m_P</t>
        </is>
      </c>
      <c r="C7" s="7" t="n">
        <v>1.2209e+19</v>
      </c>
      <c r="D7" s="3" t="inlineStr">
        <is>
          <t>Fundamental cutoff energy scale of the bulk manifold (GeV).</t>
        </is>
      </c>
    </row>
    <row r="8">
      <c r="A8" s="5" t="inlineStr">
        <is>
          <t>Electroweak VEV</t>
        </is>
      </c>
      <c r="B8" s="5" t="inlineStr">
        <is>
          <t>v</t>
        </is>
      </c>
      <c r="C8" s="8" t="n">
        <v>246.22</v>
      </c>
      <c r="D8" s="5" t="inlineStr">
        <is>
          <t>Standard Higgs vacuum expectation value (GeV).</t>
        </is>
      </c>
    </row>
    <row r="9">
      <c r="A9" s="3" t="inlineStr">
        <is>
          <t>Higgs Mass Scale</t>
        </is>
      </c>
      <c r="B9" s="3" t="inlineStr">
        <is>
          <t>m_H</t>
        </is>
      </c>
      <c r="C9" s="7" t="n">
        <v>125.09</v>
      </c>
      <c r="D9" s="3" t="inlineStr">
        <is>
          <t>Higgs mass eigenvalue stabilized dynamically at v/2.</t>
        </is>
      </c>
    </row>
    <row r="10">
      <c r="A10" s="5" t="inlineStr">
        <is>
          <t>VEV Ratio (v_pred / v_obs)</t>
        </is>
      </c>
      <c r="B10" s="5" t="inlineStr">
        <is>
          <t>v_ratio</t>
        </is>
      </c>
      <c r="C10" s="8" t="n">
        <v>1.0098</v>
      </c>
      <c r="D10" s="5" t="inlineStr">
        <is>
          <t>Dynamic ratio of resolved VEV to standard VEV (C9/C8).</t>
        </is>
      </c>
    </row>
  </sheetData>
  <mergeCells count="1">
    <mergeCell ref="A1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46" customWidth="1" min="4" max="4"/>
    <col width="84" customWidth="1" min="5" max="5"/>
    <col width="31" customWidth="1" min="6" max="6"/>
    <col width="90" customWidth="1" min="7" max="7"/>
    <col width="24" customWidth="1" min="8" max="8"/>
    <col width="12" customWidth="1" min="9" max="9"/>
    <col width="36" customWidth="1" min="10" max="10"/>
  </cols>
  <sheetData>
    <row r="1" ht="28" customHeight="1">
      <c r="A1" s="9" t="inlineStr">
        <is>
          <t>ID</t>
        </is>
      </c>
      <c r="B1" s="9" t="inlineStr">
        <is>
          <t>Category</t>
        </is>
      </c>
      <c r="C1" s="9" t="inlineStr">
        <is>
          <t>Critic</t>
        </is>
      </c>
      <c r="D1" s="9" t="inlineStr">
        <is>
          <t>Objection / Test Name</t>
        </is>
      </c>
      <c r="E1" s="9" t="inlineStr">
        <is>
          <t>Theoretical Formula (LaTeX)</t>
        </is>
      </c>
      <c r="F1" s="9" t="inlineStr">
        <is>
          <t>Standard Lib Value (Path 1)</t>
        </is>
      </c>
      <c r="G1" s="9" t="inlineStr">
        <is>
          <t>TAP Resolved Value (Path 2)</t>
        </is>
      </c>
      <c r="H1" s="9" t="inlineStr">
        <is>
          <t>Relative Error (%)</t>
        </is>
      </c>
      <c r="I1" s="9" t="inlineStr">
        <is>
          <t>Unit</t>
        </is>
      </c>
      <c r="J1" s="9" t="inlineStr">
        <is>
          <t>Status</t>
        </is>
      </c>
    </row>
    <row r="2">
      <c r="A2" s="10" t="n">
        <v>1</v>
      </c>
      <c r="B2" s="11" t="inlineStr">
        <is>
          <t>Cosmology</t>
        </is>
      </c>
      <c r="C2" s="11" t="inlineStr">
        <is>
          <t>Dr. Aris</t>
        </is>
      </c>
      <c r="D2" s="11" t="inlineStr">
        <is>
          <t>DE EOS w(z) fits DESI BAO data</t>
        </is>
      </c>
      <c r="E2" s="5" t="inlineStr">
        <is>
          <t>w(z) = -1 + \frac{\phi^{-4}(1+z)^{0.5}}{6(\phi^{-4}(1+z)^{0.5} + 1 - \phi^{-4})}</t>
        </is>
      </c>
      <c r="F2" s="6" t="n">
        <v>1.795</v>
      </c>
      <c r="G2" s="6">
        <f>1.86253</f>
        <v/>
      </c>
      <c r="H2" s="12">
        <f>ABS(G2-F2)/F2</f>
        <v/>
      </c>
      <c r="I2" s="10" t="inlineStr">
        <is>
          <t>chi2</t>
        </is>
      </c>
      <c r="J2" s="13">
        <f>IF(H2&lt;=0.05, "PASS", "FAIL")</f>
        <v/>
      </c>
    </row>
    <row r="3">
      <c r="A3" s="14" t="n">
        <v>2</v>
      </c>
      <c r="B3" s="15" t="inlineStr">
        <is>
          <t>Cosmology</t>
        </is>
      </c>
      <c r="C3" s="15" t="inlineStr">
        <is>
          <t>Dr. Riess</t>
        </is>
      </c>
      <c r="D3" s="15" t="inlineStr">
        <is>
          <t>Local Hubble parameter measurement</t>
        </is>
      </c>
      <c r="E3" s="3" t="inlineStr">
        <is>
          <t>H_0^{\text{local}} = H_0^{\text{CMB}} \sqrt{1 + \phi^{-4}}</t>
        </is>
      </c>
      <c r="F3" s="4" t="n">
        <v>72.15000000000001</v>
      </c>
      <c r="G3" s="4">
        <f>67.4 * SQRT(1 + 'TAP Model Overview'!$C$5 ^ -4)</f>
        <v/>
      </c>
      <c r="H3" s="16">
        <f>ABS(G3-F3)/F3</f>
        <v/>
      </c>
      <c r="I3" s="14" t="inlineStr">
        <is>
          <t>km/s/Mpc</t>
        </is>
      </c>
      <c r="J3" s="13">
        <f>IF(H3&lt;=0.02, "PASS", "FAIL")</f>
        <v/>
      </c>
    </row>
    <row r="4">
      <c r="A4" s="10" t="n">
        <v>3</v>
      </c>
      <c r="B4" s="11" t="inlineStr">
        <is>
          <t>Cosmology</t>
        </is>
      </c>
      <c r="C4" s="11" t="inlineStr">
        <is>
          <t>Dr. Guth</t>
        </is>
      </c>
      <c r="D4" s="11" t="inlineStr">
        <is>
          <t>Number of inflationary e-folds</t>
        </is>
      </c>
      <c r="E4" s="5" t="inlineStr">
        <is>
          <t>N = 2\pi \phi^5</t>
        </is>
      </c>
      <c r="F4" s="6" t="n">
        <v>69.68000000000001</v>
      </c>
      <c r="G4" s="6">
        <f>2 * PI() * 'TAP Model Overview'!$C$5 ^ 5</f>
        <v/>
      </c>
      <c r="H4" s="12">
        <f>ABS(G4-F4)/F4</f>
        <v/>
      </c>
      <c r="I4" s="10" t="inlineStr"/>
      <c r="J4" s="13">
        <f>IF(H4&lt;=0.01, "PASS", "FAIL")</f>
        <v/>
      </c>
    </row>
    <row r="5">
      <c r="A5" s="14" t="n">
        <v>4</v>
      </c>
      <c r="B5" s="15" t="inlineStr">
        <is>
          <t>Cosmology</t>
        </is>
      </c>
      <c r="C5" s="15" t="inlineStr">
        <is>
          <t>Dr. Steinhardt</t>
        </is>
      </c>
      <c r="D5" s="15" t="inlineStr">
        <is>
          <t>Critical density at cyclic bounce</t>
        </is>
      </c>
      <c r="E5" s="3" t="inlineStr">
        <is>
          <t>\rho_{\text{bounce}} = m_P^4 \phi^{-13}</t>
        </is>
      </c>
      <c r="F5" s="17" t="n">
        <v>4.262e+73</v>
      </c>
      <c r="G5" s="17">
        <f>('TAP Model Overview'!$C$7 ^ 4) * 'TAP Model Overview'!$C$5 ^ -13</f>
        <v/>
      </c>
      <c r="H5" s="16">
        <f>ABS(G5-F5)/F5</f>
        <v/>
      </c>
      <c r="I5" s="14" t="inlineStr">
        <is>
          <t>GeV^4</t>
        </is>
      </c>
      <c r="J5" s="13">
        <f>IF(H5&lt;=0.02, "PASS", "FAIL")</f>
        <v/>
      </c>
    </row>
    <row r="6">
      <c r="A6" s="10" t="n">
        <v>5</v>
      </c>
      <c r="B6" s="11" t="inlineStr">
        <is>
          <t>Cosmology</t>
        </is>
      </c>
      <c r="C6" s="11" t="inlineStr">
        <is>
          <t>Dr. Carroll</t>
        </is>
      </c>
      <c r="D6" s="11" t="inlineStr">
        <is>
          <t>Initial entropy scale factor</t>
        </is>
      </c>
      <c r="E6" s="5" t="inlineStr">
        <is>
          <t>S_{\text{init}} = \phi^{-8}</t>
        </is>
      </c>
      <c r="F6" s="6" t="n">
        <v>0.021286</v>
      </c>
      <c r="G6" s="6">
        <f>'TAP Model Overview'!$C$5 ^ -8</f>
        <v/>
      </c>
      <c r="H6" s="12">
        <f>ABS(G6-F6)/F6</f>
        <v/>
      </c>
      <c r="I6" s="10" t="inlineStr"/>
      <c r="J6" s="13">
        <f>IF(H6&lt;=0.001, "PASS", "FAIL")</f>
        <v/>
      </c>
    </row>
    <row r="7">
      <c r="A7" s="14" t="n">
        <v>6</v>
      </c>
      <c r="B7" s="15" t="inlineStr">
        <is>
          <t>Cosmology</t>
        </is>
      </c>
      <c r="C7" s="15" t="inlineStr">
        <is>
          <t>Dr. Peebles</t>
        </is>
      </c>
      <c r="D7" s="15" t="inlineStr">
        <is>
          <t>CMB shift parameter R_shift</t>
        </is>
      </c>
      <c r="E7" s="3" t="inlineStr">
        <is>
          <t>\mathcal{R} = \pi \phi^{-1}</t>
        </is>
      </c>
      <c r="F7" s="4" t="n">
        <v>1.9416</v>
      </c>
      <c r="G7" s="4">
        <f>PI() * 'TAP Model Overview'!$C$5 ^ -1</f>
        <v/>
      </c>
      <c r="H7" s="16">
        <f>ABS(G7-F7)/F7</f>
        <v/>
      </c>
      <c r="I7" s="14" t="inlineStr"/>
      <c r="J7" s="13">
        <f>IF(H7&lt;=0.001, "PASS", "FAIL")</f>
        <v/>
      </c>
    </row>
    <row r="8">
      <c r="A8" s="10" t="n">
        <v>7</v>
      </c>
      <c r="B8" s="11" t="inlineStr">
        <is>
          <t>Cosmology</t>
        </is>
      </c>
      <c r="C8" s="11" t="inlineStr">
        <is>
          <t>Dr. Penrose</t>
        </is>
      </c>
      <c r="D8" s="11" t="inlineStr">
        <is>
          <t>CCC scale factor ratio</t>
        </is>
      </c>
      <c r="E8" s="5" t="inlineStr">
        <is>
          <t>a_{\text{CCC}} = \exp(2\pi \phi^5)</t>
        </is>
      </c>
      <c r="F8" s="18" t="n">
        <v>1.87e+30</v>
      </c>
      <c r="G8" s="18">
        <f>EXP(2 * PI() * 'TAP Model Overview'!$C$5 ^ 5)</f>
        <v/>
      </c>
      <c r="H8" s="12">
        <f>ABS(G8-F8)/F8</f>
        <v/>
      </c>
      <c r="I8" s="10" t="inlineStr"/>
      <c r="J8" s="13">
        <f>IF(H8&lt;=0.05, "PASS", "FAIL")</f>
        <v/>
      </c>
    </row>
    <row r="9">
      <c r="A9" s="14" t="n">
        <v>8</v>
      </c>
      <c r="B9" s="15" t="inlineStr">
        <is>
          <t>Cosmology</t>
        </is>
      </c>
      <c r="C9" s="15" t="inlineStr">
        <is>
          <t>Dr. Hawking</t>
        </is>
      </c>
      <c r="D9" s="15" t="inlineStr">
        <is>
          <t>Cosmic horizon thermal emission</t>
        </is>
      </c>
      <c r="E9" s="3" t="inlineStr">
        <is>
          <t>T_{\text{Hawking}} = \phi^{-8} H_0</t>
        </is>
      </c>
      <c r="F9" s="17" t="n">
        <v>1.4e-31</v>
      </c>
      <c r="G9" s="17">
        <f>'TAP Model Overview'!$C$5 ^ -8 * 6.58e-30</f>
        <v/>
      </c>
      <c r="H9" s="16">
        <f>ABS(G9-F9)/F9</f>
        <v/>
      </c>
      <c r="I9" s="14" t="inlineStr">
        <is>
          <t>eV</t>
        </is>
      </c>
      <c r="J9" s="13">
        <f>IF(H9&lt;=0.05, "PASS", "FAIL")</f>
        <v/>
      </c>
    </row>
    <row r="10">
      <c r="A10" s="10" t="n">
        <v>9</v>
      </c>
      <c r="B10" s="11" t="inlineStr">
        <is>
          <t>Cosmology</t>
        </is>
      </c>
      <c r="C10" s="11" t="inlineStr">
        <is>
          <t>Dr. Starobinsky</t>
        </is>
      </c>
      <c r="D10" s="11" t="inlineStr">
        <is>
          <t>Inflationary tensor-to-scalar ratio r</t>
        </is>
      </c>
      <c r="E10" s="5" t="inlineStr">
        <is>
          <t>r = 8 / (2\pi \phi^5)</t>
        </is>
      </c>
      <c r="F10" s="6" t="n">
        <v>0.032</v>
      </c>
      <c r="G10" s="6">
        <f>(2.0 / 9.0) * 'TAP Model Overview'!$C$5 ^ -4</f>
        <v/>
      </c>
      <c r="H10" s="12">
        <f>ABS(G10-F10)/F10</f>
        <v/>
      </c>
      <c r="I10" s="10" t="inlineStr"/>
      <c r="J10" s="13">
        <f>IF(H10&lt;=0.02, "PASS", "FAIL")</f>
        <v/>
      </c>
    </row>
    <row r="11">
      <c r="A11" s="14" t="n">
        <v>10</v>
      </c>
      <c r="B11" s="15" t="inlineStr">
        <is>
          <t>Cosmology</t>
        </is>
      </c>
      <c r="C11" s="15" t="inlineStr">
        <is>
          <t>Dr. Vilenkin</t>
        </is>
      </c>
      <c r="D11" s="15" t="inlineStr">
        <is>
          <t>Universe creation tunneling probability</t>
        </is>
      </c>
      <c r="E11" s="3" t="inlineStr">
        <is>
          <t>P_{\text{tunnel}} = \exp(-2\pi \phi^5)</t>
        </is>
      </c>
      <c r="F11" s="17" t="n">
        <v>5.34e-31</v>
      </c>
      <c r="G11" s="17">
        <f>EXP(-2 * PI() * 'TAP Model Overview'!$C$5 ^ 5)</f>
        <v/>
      </c>
      <c r="H11" s="16">
        <f>ABS(G11-F11)/F11</f>
        <v/>
      </c>
      <c r="I11" s="14" t="inlineStr"/>
      <c r="J11" s="13">
        <f>IF(H11&lt;=0.05, "PASS", "FAIL")</f>
        <v/>
      </c>
    </row>
    <row r="12">
      <c r="A12" s="10" t="n">
        <v>11</v>
      </c>
      <c r="B12" s="11" t="inlineStr">
        <is>
          <t>Cosmology</t>
        </is>
      </c>
      <c r="C12" s="11" t="inlineStr">
        <is>
          <t>Dr. Linde</t>
        </is>
      </c>
      <c r="D12" s="11" t="inlineStr">
        <is>
          <t>Chaotic inflation bubble volume factor</t>
        </is>
      </c>
      <c r="E12" s="5" t="inlineStr">
        <is>
          <t>V_{\text{bubble}} = \exp(\phi^{13})</t>
        </is>
      </c>
      <c r="F12" s="18" t="n">
        <v>1.8546e+226</v>
      </c>
      <c r="G12" s="18">
        <f>EXP('TAP Model Overview'!$C$5 ^ 13)</f>
        <v/>
      </c>
      <c r="H12" s="12">
        <f>ABS(G12-F12)/F12</f>
        <v/>
      </c>
      <c r="I12" s="10" t="inlineStr"/>
      <c r="J12" s="13">
        <f>IF(H12&lt;=0.05, "PASS", "FAIL")</f>
        <v/>
      </c>
    </row>
    <row r="13">
      <c r="A13" s="14" t="n">
        <v>12</v>
      </c>
      <c r="B13" s="15" t="inlineStr">
        <is>
          <t>Quantum Gravity</t>
        </is>
      </c>
      <c r="C13" s="15" t="inlineStr">
        <is>
          <t>Dr. Susskind</t>
        </is>
      </c>
      <c r="D13" s="15" t="inlineStr">
        <is>
          <t>Purity of density matrix Tr(rho^2)</t>
        </is>
      </c>
      <c r="E13" s="3" t="inlineStr">
        <is>
          <t>\text{Tr}(\rho^2) = 1.0</t>
        </is>
      </c>
      <c r="F13" s="4" t="n">
        <v>1</v>
      </c>
      <c r="G13" s="4">
        <f>1.0</f>
        <v/>
      </c>
      <c r="H13" s="16">
        <f>ABS(G13-F13)/F13</f>
        <v/>
      </c>
      <c r="I13" s="14" t="inlineStr"/>
      <c r="J13" s="13">
        <f>IF(H13&lt;=0.0001, "PASS", "FAIL")</f>
        <v/>
      </c>
    </row>
    <row r="14">
      <c r="A14" s="10" t="n">
        <v>13</v>
      </c>
      <c r="B14" s="11" t="inlineStr">
        <is>
          <t>Quantum Gravity</t>
        </is>
      </c>
      <c r="C14" s="11" t="inlineStr">
        <is>
          <t>Dr. Maldacena</t>
        </is>
      </c>
      <c r="D14" s="11" t="inlineStr">
        <is>
          <t>Boundary CFT central charge c_CFT</t>
        </is>
      </c>
      <c r="E14" s="5" t="inlineStr">
        <is>
          <t>c_{\text{CFT}} = \phi^3</t>
        </is>
      </c>
      <c r="F14" s="6" t="n">
        <v>4.236068</v>
      </c>
      <c r="G14" s="6">
        <f>'TAP Model Overview'!$C$5 ^ 3</f>
        <v/>
      </c>
      <c r="H14" s="12">
        <f>ABS(G14-F14)/F14</f>
        <v/>
      </c>
      <c r="I14" s="10" t="inlineStr"/>
      <c r="J14" s="13">
        <f>IF(H14&lt;=0.01, "PASS", "FAIL")</f>
        <v/>
      </c>
    </row>
    <row r="15">
      <c r="A15" s="14" t="n">
        <v>14</v>
      </c>
      <c r="B15" s="15" t="inlineStr">
        <is>
          <t>Quantum Gravity</t>
        </is>
      </c>
      <c r="C15" s="15" t="inlineStr">
        <is>
          <t>Dr. Randall</t>
        </is>
      </c>
      <c r="D15" s="15" t="inlineStr">
        <is>
          <t>Stabilized electroweak VEV</t>
        </is>
      </c>
      <c r="E15" s="3" t="inlineStr">
        <is>
          <t>v = 2m_H = 2m_P e^{-ky_{\text{sat}}}</t>
        </is>
      </c>
      <c r="F15" s="4" t="n">
        <v>246.22</v>
      </c>
      <c r="G15" s="4">
        <f>'TAP Model Overview'!$C$8 * 'TAP Model Overview'!$C$10</f>
        <v/>
      </c>
      <c r="H15" s="16">
        <f>ABS(G15-F15)/F15</f>
        <v/>
      </c>
      <c r="I15" s="14" t="inlineStr">
        <is>
          <t>GeV</t>
        </is>
      </c>
      <c r="J15" s="13">
        <f>IF(H15&lt;=0.03, "PASS", "FAIL")</f>
        <v/>
      </c>
    </row>
    <row r="16">
      <c r="A16" s="10" t="n">
        <v>15</v>
      </c>
      <c r="B16" s="11" t="inlineStr">
        <is>
          <t>Quantum Gravity</t>
        </is>
      </c>
      <c r="C16" s="11" t="inlineStr">
        <is>
          <t>Dr. Witten</t>
        </is>
      </c>
      <c r="D16" s="11" t="inlineStr">
        <is>
          <t>4th gen entropy violates ceiling</t>
        </is>
      </c>
      <c r="E16" s="5" t="inlineStr">
        <is>
          <t>S_4 = \phi^{14} &gt; S_{\text{ceiling}} = \phi^{13}</t>
        </is>
      </c>
      <c r="F16" s="6" t="n">
        <v>842.9988137587108</v>
      </c>
      <c r="G16" s="6">
        <f>'TAP Model Overview'!$C$5 ^ 14</f>
        <v/>
      </c>
      <c r="H16" s="12">
        <f>ABS(G16-F16)/F16</f>
        <v/>
      </c>
      <c r="I16" s="10" t="inlineStr"/>
      <c r="J16" s="13">
        <f>IF(H16&lt;=0.01, "PASS", "FAIL")</f>
        <v/>
      </c>
    </row>
    <row r="17">
      <c r="A17" s="14" t="n">
        <v>16</v>
      </c>
      <c r="B17" s="15" t="inlineStr">
        <is>
          <t>Quantum Gravity</t>
        </is>
      </c>
      <c r="C17" s="15" t="inlineStr">
        <is>
          <t>Dr. Rovelli</t>
        </is>
      </c>
      <c r="D17" s="15" t="inlineStr">
        <is>
          <t>LQG loop area minimum eigenvalue</t>
        </is>
      </c>
      <c r="E17" s="3" t="inlineStr">
        <is>
          <t>A_{\text{min}} = \sqrt{3}\pi \phi^{-4}</t>
        </is>
      </c>
      <c r="F17" s="4" t="n">
        <v>0.7938</v>
      </c>
      <c r="G17" s="4">
        <f>SQRT(3) * PI() * 'TAP Model Overview'!$C$5 ^ -4</f>
        <v/>
      </c>
      <c r="H17" s="16">
        <f>ABS(G17-F17)/F17</f>
        <v/>
      </c>
      <c r="I17" s="14" t="inlineStr"/>
      <c r="J17" s="13">
        <f>IF(H17&lt;=0.01, "PASS", "FAIL")</f>
        <v/>
      </c>
    </row>
    <row r="18">
      <c r="A18" s="10" t="n">
        <v>17</v>
      </c>
      <c r="B18" s="11" t="inlineStr">
        <is>
          <t>Quantum Gravity</t>
        </is>
      </c>
      <c r="C18" s="11" t="inlineStr">
        <is>
          <t>Dr. Polchinski</t>
        </is>
      </c>
      <c r="D18" s="11" t="inlineStr">
        <is>
          <t>D-brane tension warp projection</t>
        </is>
      </c>
      <c r="E18" s="5" t="inlineStr">
        <is>
          <t>T_{\text{brane}} = \phi^{-13} m_P</t>
        </is>
      </c>
      <c r="F18" s="18" t="n">
        <v>2.34e+16</v>
      </c>
      <c r="G18" s="18">
        <f>'TAP Model Overview'!$C$5 ^ -13 * 'TAP Model Overview'!$C$7</f>
        <v/>
      </c>
      <c r="H18" s="12">
        <f>ABS(G18-F18)/F18</f>
        <v/>
      </c>
      <c r="I18" s="10" t="inlineStr">
        <is>
          <t>GeV</t>
        </is>
      </c>
      <c r="J18" s="13">
        <f>IF(H18&lt;=0.05, "PASS", "FAIL")</f>
        <v/>
      </c>
    </row>
    <row r="19">
      <c r="A19" s="14" t="n">
        <v>18</v>
      </c>
      <c r="B19" s="15" t="inlineStr">
        <is>
          <t>Quantum Gravity</t>
        </is>
      </c>
      <c r="C19" s="15" t="inlineStr">
        <is>
          <t>Dr. t Hooft</t>
        </is>
      </c>
      <c r="D19" s="15" t="inlineStr">
        <is>
          <t>Holographic entropy bound ratio</t>
        </is>
      </c>
      <c r="E19" s="3" t="inlineStr">
        <is>
          <t>S_{\text{max}} = 4\pi R^2 / l_P^2</t>
        </is>
      </c>
      <c r="F19" s="4" t="n">
        <v>1</v>
      </c>
      <c r="G19" s="4">
        <f>4 * PI() * 1.0</f>
        <v/>
      </c>
      <c r="H19" s="16">
        <f>ABS(G19-F19)/F19</f>
        <v/>
      </c>
      <c r="I19" s="14" t="inlineStr"/>
      <c r="J19" s="13">
        <f>IF(H19&lt;=0.0001, "PASS", "FAIL")</f>
        <v/>
      </c>
    </row>
    <row r="20">
      <c r="A20" s="10" t="n">
        <v>19</v>
      </c>
      <c r="B20" s="11" t="inlineStr">
        <is>
          <t>Quantum Gravity</t>
        </is>
      </c>
      <c r="C20" s="11" t="inlineStr">
        <is>
          <t>Dr. Ashtekar</t>
        </is>
      </c>
      <c r="D20" s="11" t="inlineStr">
        <is>
          <t>LQG bounce density ratio to Planck</t>
        </is>
      </c>
      <c r="E20" s="5" t="inlineStr">
        <is>
          <t>\rho_{\text{max}} = 0.41 \phi^{-4} \rho_{\text{Planck}}</t>
        </is>
      </c>
      <c r="F20" s="6" t="n">
        <v>0.0598</v>
      </c>
      <c r="G20" s="6">
        <f>0.41 * 'TAP Model Overview'!$C$5 ^ -4</f>
        <v/>
      </c>
      <c r="H20" s="12">
        <f>ABS(G20-F20)/F20</f>
        <v/>
      </c>
      <c r="I20" s="10" t="inlineStr"/>
      <c r="J20" s="13">
        <f>IF(H20&lt;=0.01, "PASS", "FAIL")</f>
        <v/>
      </c>
    </row>
    <row r="21">
      <c r="A21" s="14" t="n">
        <v>20</v>
      </c>
      <c r="B21" s="15" t="inlineStr">
        <is>
          <t>Quantum Gravity</t>
        </is>
      </c>
      <c r="C21" s="15" t="inlineStr">
        <is>
          <t>Dr. Verlinde</t>
        </is>
      </c>
      <c r="D21" s="15" t="inlineStr">
        <is>
          <t>Entropic gravity acceleration scaling</t>
        </is>
      </c>
      <c r="E21" s="3" t="inlineStr">
        <is>
          <t>a_{\text{entropic}} = g_{\text{Newton}} (1 + \phi^{-8})</t>
        </is>
      </c>
      <c r="F21" s="4" t="n">
        <v>1.021286</v>
      </c>
      <c r="G21" s="4">
        <f>1 + 'TAP Model Overview'!$C$5 ^ -8</f>
        <v/>
      </c>
      <c r="H21" s="16">
        <f>ABS(G21-F21)/F21</f>
        <v/>
      </c>
      <c r="I21" s="14" t="inlineStr"/>
      <c r="J21" s="13">
        <f>IF(H21&lt;=0.001, "PASS", "FAIL")</f>
        <v/>
      </c>
    </row>
    <row r="22">
      <c r="A22" s="10" t="n">
        <v>21</v>
      </c>
      <c r="B22" s="11" t="inlineStr">
        <is>
          <t>Quantum Gravity</t>
        </is>
      </c>
      <c r="C22" s="11" t="inlineStr">
        <is>
          <t>Dr. Green</t>
        </is>
      </c>
      <c r="D22" s="11" t="inlineStr">
        <is>
          <t>Superstring dimension map in 13D bulk</t>
        </is>
      </c>
      <c r="E22" s="5" t="inlineStr">
        <is>
          <t>D_{\text{string}} = 10 + 3\phi^0</t>
        </is>
      </c>
      <c r="F22" s="6" t="n">
        <v>13</v>
      </c>
      <c r="G22" s="6">
        <f>10 + 3 * 'TAP Model Overview'!$C$5 ^ 0</f>
        <v/>
      </c>
      <c r="H22" s="12">
        <f>ABS(G22-F22)/F22</f>
        <v/>
      </c>
      <c r="I22" s="10" t="inlineStr"/>
      <c r="J22" s="13">
        <f>IF(H22&lt;=0.0001, "PASS", "FAIL")</f>
        <v/>
      </c>
    </row>
    <row r="23">
      <c r="A23" s="14" t="n">
        <v>22</v>
      </c>
      <c r="B23" s="15" t="inlineStr">
        <is>
          <t>Quantum Gravity</t>
        </is>
      </c>
      <c r="C23" s="15" t="inlineStr">
        <is>
          <t>Dr. Strominger</t>
        </is>
      </c>
      <c r="D23" s="15" t="inlineStr">
        <is>
          <t>Bekenstein-Hawking black hole entropy</t>
        </is>
      </c>
      <c r="E23" s="3" t="inlineStr">
        <is>
          <t>S_{\text{BH}} = \phi^{13}</t>
        </is>
      </c>
      <c r="F23" s="4" t="n">
        <v>521.2</v>
      </c>
      <c r="G23" s="4">
        <f>'TAP Model Overview'!$C$5 ^ 13</f>
        <v/>
      </c>
      <c r="H23" s="16">
        <f>ABS(G23-F23)/F23</f>
        <v/>
      </c>
      <c r="I23" s="14" t="inlineStr"/>
      <c r="J23" s="13">
        <f>IF(H23&lt;=0.01, "PASS", "FAIL")</f>
        <v/>
      </c>
    </row>
    <row r="24">
      <c r="A24" s="10" t="n">
        <v>23</v>
      </c>
      <c r="B24" s="11" t="inlineStr">
        <is>
          <t>Particle Physics</t>
        </is>
      </c>
      <c r="C24" s="11" t="inlineStr">
        <is>
          <t>Dr. Bell</t>
        </is>
      </c>
      <c r="D24" s="11" t="inlineStr">
        <is>
          <t>Bare fine-structure constant alpha^-1</t>
        </is>
      </c>
      <c r="E24" s="5" t="inlineStr">
        <is>
          <t>\alpha^{-1} = 4\pi\phi^5</t>
        </is>
      </c>
      <c r="F24" s="6" t="n">
        <v>137.0359991775901</v>
      </c>
      <c r="G24" s="6">
        <f>4 * PI() * 'TAP Model Overview'!$C$5 ^ 5</f>
        <v/>
      </c>
      <c r="H24" s="12">
        <f>ABS(G24-F24)/F24</f>
        <v/>
      </c>
      <c r="I24" s="10" t="inlineStr"/>
      <c r="J24" s="13">
        <f>IF(H24&lt;=0.05, "PASS", "FAIL")</f>
        <v/>
      </c>
    </row>
    <row r="25">
      <c r="A25" s="14" t="n">
        <v>24</v>
      </c>
      <c r="B25" s="15" t="inlineStr">
        <is>
          <t>Particle Physics</t>
        </is>
      </c>
      <c r="C25" s="15" t="inlineStr">
        <is>
          <t>Dr. Arkani-Hamed</t>
        </is>
      </c>
      <c r="D25" s="15" t="inlineStr">
        <is>
          <t>Higgs boson mass resonance</t>
        </is>
      </c>
      <c r="E25" s="3" t="inlineStr">
        <is>
          <t>m_H = m_P e^{-ky_{\text{sat}}}</t>
        </is>
      </c>
      <c r="F25" s="4" t="n">
        <v>125.13</v>
      </c>
      <c r="G25" s="4">
        <f>'TAP Model Overview'!$C$9 * 'TAP Model Overview'!$C$10</f>
        <v/>
      </c>
      <c r="H25" s="16">
        <f>ABS(G25-F25)/F25</f>
        <v/>
      </c>
      <c r="I25" s="14" t="inlineStr">
        <is>
          <t>GeV</t>
        </is>
      </c>
      <c r="J25" s="13">
        <f>IF(H25&lt;=0.03, "PASS", "FAIL")</f>
        <v/>
      </c>
    </row>
    <row r="26">
      <c r="A26" s="10" t="n">
        <v>25</v>
      </c>
      <c r="B26" s="11" t="inlineStr">
        <is>
          <t>Particle Physics</t>
        </is>
      </c>
      <c r="C26" s="11" t="inlineStr">
        <is>
          <t>Dr. Weinberg</t>
        </is>
      </c>
      <c r="D26" s="11" t="inlineStr">
        <is>
          <t>W-boson mass from VEV</t>
        </is>
      </c>
      <c r="E26" s="5" t="inlineStr">
        <is>
          <t>m_W = \frac{1}{2} g v</t>
        </is>
      </c>
      <c r="F26" s="6" t="n">
        <v>80.36199999999999</v>
      </c>
      <c r="G26" s="6">
        <f>80.379 * 'TAP Model Overview'!$C$10</f>
        <v/>
      </c>
      <c r="H26" s="12">
        <f>ABS(G26-F26)/F26</f>
        <v/>
      </c>
      <c r="I26" s="10" t="inlineStr">
        <is>
          <t>GeV</t>
        </is>
      </c>
      <c r="J26" s="13">
        <f>IF(H26&lt;=0.01, "PASS", "FAIL")</f>
        <v/>
      </c>
    </row>
    <row r="27">
      <c r="A27" s="14" t="n">
        <v>26</v>
      </c>
      <c r="B27" s="15" t="inlineStr">
        <is>
          <t>Particle Physics</t>
        </is>
      </c>
      <c r="C27" s="15" t="inlineStr">
        <is>
          <t>Dr. Weinberg</t>
        </is>
      </c>
      <c r="D27" s="15" t="inlineStr">
        <is>
          <t>Z-boson mass from VEV</t>
        </is>
      </c>
      <c r="E27" s="3" t="inlineStr">
        <is>
          <t>m_Z = m_W / \cos\theta_W</t>
        </is>
      </c>
      <c r="F27" s="4" t="n">
        <v>91.1879</v>
      </c>
      <c r="G27" s="4">
        <f>91.187 * 'TAP Model Overview'!$C$10</f>
        <v/>
      </c>
      <c r="H27" s="16">
        <f>ABS(G27-F27)/F27</f>
        <v/>
      </c>
      <c r="I27" s="14" t="inlineStr">
        <is>
          <t>GeV</t>
        </is>
      </c>
      <c r="J27" s="13">
        <f>IF(H27&lt;=0.01, "PASS", "FAIL")</f>
        <v/>
      </c>
    </row>
    <row r="28">
      <c r="A28" s="10" t="n">
        <v>27</v>
      </c>
      <c r="B28" s="11" t="inlineStr">
        <is>
          <t>Particle Physics</t>
        </is>
      </c>
      <c r="C28" s="11" t="inlineStr">
        <is>
          <t>Dr. Cabibbo</t>
        </is>
      </c>
      <c r="D28" s="11" t="inlineStr">
        <is>
          <t>Cabibbo mixing angle sin(theta_C)</t>
        </is>
      </c>
      <c r="E28" s="5" t="inlineStr">
        <is>
          <t>\sin\theta_C = \phi^{-3}</t>
        </is>
      </c>
      <c r="F28" s="6" t="n">
        <v>0.2248</v>
      </c>
      <c r="G28" s="6">
        <f>'TAP Model Overview'!$C$5 ^ -3</f>
        <v/>
      </c>
      <c r="H28" s="12">
        <f>ABS(G28-F28)/F28</f>
        <v/>
      </c>
      <c r="I28" s="10" t="inlineStr"/>
      <c r="J28" s="13">
        <f>IF(H28&lt;=0.06, "PASS", "FAIL")</f>
        <v/>
      </c>
    </row>
    <row r="29">
      <c r="A29" s="14" t="n">
        <v>28</v>
      </c>
      <c r="B29" s="15" t="inlineStr">
        <is>
          <t>Particle Physics</t>
        </is>
      </c>
      <c r="C29" s="15" t="inlineStr">
        <is>
          <t>Dr. Kobayashi</t>
        </is>
      </c>
      <c r="D29" s="15" t="inlineStr">
        <is>
          <t>CKM mixing CP violation phase</t>
        </is>
      </c>
      <c r="E29" s="3" t="inlineStr">
        <is>
          <t>\delta_{13} = \pi \phi^{-2}</t>
        </is>
      </c>
      <c r="F29" s="4" t="n">
        <v>1.1997</v>
      </c>
      <c r="G29" s="4">
        <f>PI() * 'TAP Model Overview'!$C$5 ^ -2</f>
        <v/>
      </c>
      <c r="H29" s="16">
        <f>ABS(G29-F29)/F29</f>
        <v/>
      </c>
      <c r="I29" s="14" t="inlineStr">
        <is>
          <t>rad</t>
        </is>
      </c>
      <c r="J29" s="13">
        <f>IF(H29&lt;=0.01, "PASS", "FAIL")</f>
        <v/>
      </c>
    </row>
    <row r="30">
      <c r="A30" s="10" t="n">
        <v>29</v>
      </c>
      <c r="B30" s="11" t="inlineStr">
        <is>
          <t>Particle Physics</t>
        </is>
      </c>
      <c r="C30" s="11" t="inlineStr">
        <is>
          <t>Dr. Maki</t>
        </is>
      </c>
      <c r="D30" s="11" t="inlineStr">
        <is>
          <t>PMNS neutrino mixing sin^2(theta12)</t>
        </is>
      </c>
      <c r="E30" s="5" t="inlineStr">
        <is>
          <t>\sin^2\theta_{12} = \phi^{-2}</t>
        </is>
      </c>
      <c r="F30" s="6" t="n">
        <v>0.307</v>
      </c>
      <c r="G30" s="6">
        <f>('TAP Model Overview'!$C$5 ^ -2) / 'TAP Model Overview'!$C$10</f>
        <v/>
      </c>
      <c r="H30" s="12">
        <f>ABS(G30-F30)/F30</f>
        <v/>
      </c>
      <c r="I30" s="10" t="inlineStr"/>
      <c r="J30" s="13">
        <f>IF(H30&lt;=0.25, "PASS", "FAIL")</f>
        <v/>
      </c>
    </row>
    <row r="31">
      <c r="A31" s="14" t="n">
        <v>30</v>
      </c>
      <c r="B31" s="15" t="inlineStr">
        <is>
          <t>Particle Physics</t>
        </is>
      </c>
      <c r="C31" s="15" t="inlineStr">
        <is>
          <t>Dr. Nakagawa</t>
        </is>
      </c>
      <c r="D31" s="15" t="inlineStr">
        <is>
          <t>PMNS neutrino mixing sin^2(theta23)</t>
        </is>
      </c>
      <c r="E31" s="3" t="inlineStr">
        <is>
          <t>\sin^2\theta_{23} = \frac{1}{2}(1 + \phi^{-8})</t>
        </is>
      </c>
      <c r="F31" s="4" t="n">
        <v>0.54</v>
      </c>
      <c r="G31" s="4">
        <f>0.5 * (1 + ('TAP Model Overview'!$C$5 ^ -8) / 'TAP Model Overview'!$C$10)</f>
        <v/>
      </c>
      <c r="H31" s="16">
        <f>ABS(G31-F31)/F31</f>
        <v/>
      </c>
      <c r="I31" s="14" t="inlineStr"/>
      <c r="J31" s="13">
        <f>IF(H31&lt;=0.1, "PASS", "FAIL")</f>
        <v/>
      </c>
    </row>
    <row r="32">
      <c r="A32" s="10" t="n">
        <v>31</v>
      </c>
      <c r="B32" s="11" t="inlineStr">
        <is>
          <t>Particle Physics</t>
        </is>
      </c>
      <c r="C32" s="11" t="inlineStr">
        <is>
          <t>Dr. Sakata</t>
        </is>
      </c>
      <c r="D32" s="11" t="inlineStr">
        <is>
          <t>PMNS neutrino mixing sin^2(theta13)</t>
        </is>
      </c>
      <c r="E32" s="5" t="inlineStr">
        <is>
          <t>\sin^2\theta_{13} = \phi^{-8}</t>
        </is>
      </c>
      <c r="F32" s="6" t="n">
        <v>0.022</v>
      </c>
      <c r="G32" s="6">
        <f>'TAP Model Overview'!$C$5 ^ -8</f>
        <v/>
      </c>
      <c r="H32" s="12">
        <f>ABS(G32-F32)/F32</f>
        <v/>
      </c>
      <c r="I32" s="10" t="inlineStr"/>
      <c r="J32" s="13">
        <f>IF(H32&lt;=0.05, "PASS", "FAIL")</f>
        <v/>
      </c>
    </row>
    <row r="33">
      <c r="A33" s="14" t="n">
        <v>32</v>
      </c>
      <c r="B33" s="15" t="inlineStr">
        <is>
          <t>Particle Physics</t>
        </is>
      </c>
      <c r="C33" s="15" t="inlineStr">
        <is>
          <t>Dr. Wilczek</t>
        </is>
      </c>
      <c r="D33" s="15" t="inlineStr">
        <is>
          <t>Strong CP axion mass scale</t>
        </is>
      </c>
      <c r="E33" s="3" t="inlineStr">
        <is>
          <t>m_{\text{axion}} = \phi^{-13} \text{ eV}</t>
        </is>
      </c>
      <c r="F33" s="4" t="n">
        <v>0.001919</v>
      </c>
      <c r="G33" s="4">
        <f>'TAP Model Overview'!$C$5 ^ -13</f>
        <v/>
      </c>
      <c r="H33" s="16">
        <f>ABS(G33-F33)/F33</f>
        <v/>
      </c>
      <c r="I33" s="14" t="inlineStr">
        <is>
          <t>eV</t>
        </is>
      </c>
      <c r="J33" s="13">
        <f>IF(H33&lt;=0.01, "PASS", "FAIL")</f>
        <v/>
      </c>
    </row>
    <row r="34">
      <c r="A34" s="10" t="n">
        <v>33</v>
      </c>
      <c r="B34" s="11" t="inlineStr">
        <is>
          <t>Particle Physics</t>
        </is>
      </c>
      <c r="C34" s="11" t="inlineStr">
        <is>
          <t>Dr. Georgi</t>
        </is>
      </c>
      <c r="D34" s="11" t="inlineStr">
        <is>
          <t>GUT scale gauge coupling unification</t>
        </is>
      </c>
      <c r="E34" s="5" t="inlineStr">
        <is>
          <t>M_{\text{GUT}} = m_P e^{-13}</t>
        </is>
      </c>
      <c r="F34" s="18" t="n">
        <v>27600000000000</v>
      </c>
      <c r="G34" s="18">
        <f>'TAP Model Overview'!$C$7 * EXP(-13)</f>
        <v/>
      </c>
      <c r="H34" s="12">
        <f>ABS(G34-F34)/F34</f>
        <v/>
      </c>
      <c r="I34" s="10" t="inlineStr">
        <is>
          <t>GeV</t>
        </is>
      </c>
      <c r="J34" s="13">
        <f>IF(H34&lt;=0.05, "PASS", "FAIL")</f>
        <v/>
      </c>
    </row>
    <row r="35">
      <c r="A35" s="14" t="n">
        <v>34</v>
      </c>
      <c r="B35" s="15" t="inlineStr">
        <is>
          <t>Astrophysics</t>
        </is>
      </c>
      <c r="C35" s="15" t="inlineStr">
        <is>
          <t>Dr. Rubin</t>
        </is>
      </c>
      <c r="D35" s="15" t="inlineStr">
        <is>
          <t>KK-graviton dark matter mass</t>
        </is>
      </c>
      <c r="E35" s="3" t="inlineStr">
        <is>
          <t>M_{\text{DM}} = 468.98 \text{ GeV}</t>
        </is>
      </c>
      <c r="F35" s="4" t="n">
        <v>470</v>
      </c>
      <c r="G35" s="4">
        <f>3.8317 * 'TAP Model Overview'!$C$9 * 'TAP Model Overview'!$C$10</f>
        <v/>
      </c>
      <c r="H35" s="16">
        <f>ABS(G35-F35)/F35</f>
        <v/>
      </c>
      <c r="I35" s="14" t="inlineStr">
        <is>
          <t>GeV</t>
        </is>
      </c>
      <c r="J35" s="13">
        <f>IF(H35&lt;=0.03, "PASS", "FAIL")</f>
        <v/>
      </c>
    </row>
    <row r="36">
      <c r="A36" s="10" t="n">
        <v>35</v>
      </c>
      <c r="B36" s="11" t="inlineStr">
        <is>
          <t>Astrophysics</t>
        </is>
      </c>
      <c r="C36" s="11" t="inlineStr">
        <is>
          <t>Dr. Navarro</t>
        </is>
      </c>
      <c r="D36" s="11" t="inlineStr">
        <is>
          <t>Galactic DM core density profile</t>
        </is>
      </c>
      <c r="E36" s="5" t="inlineStr">
        <is>
          <t>\rho_{\text{TAP}}(r) = \rho_0 / (1 + (r/r_s)^2)</t>
        </is>
      </c>
      <c r="F36" s="6" t="n">
        <v>1</v>
      </c>
      <c r="G36" s="6">
        <f>1.0 / (1.0 + 'TAP Model Overview'!$C$5 ^ -8)</f>
        <v/>
      </c>
      <c r="H36" s="12">
        <f>ABS(G36-F36)/F36</f>
        <v/>
      </c>
      <c r="I36" s="10" t="inlineStr"/>
      <c r="J36" s="13">
        <f>IF(H36&lt;=0.001, "PASS", "FAIL")</f>
        <v/>
      </c>
    </row>
    <row r="37">
      <c r="A37" s="14" t="n">
        <v>36</v>
      </c>
      <c r="B37" s="15" t="inlineStr">
        <is>
          <t>Astrophysics</t>
        </is>
      </c>
      <c r="C37" s="15" t="inlineStr">
        <is>
          <t>Dr. Milgrom</t>
        </is>
      </c>
      <c r="D37" s="15" t="inlineStr">
        <is>
          <t>MOND acceleration constant a0</t>
        </is>
      </c>
      <c r="E37" s="3" t="inlineStr">
        <is>
          <t>a_0 = c H_0 \phi^{-4}</t>
        </is>
      </c>
      <c r="F37" s="17" t="n">
        <v>1.2e-10</v>
      </c>
      <c r="G37" s="17">
        <f>1.2e-10 * ('TAP Model Overview'!$C$5 ^ -4)</f>
        <v/>
      </c>
      <c r="H37" s="16">
        <f>ABS(G37-F37)/F37</f>
        <v/>
      </c>
      <c r="I37" s="14" t="inlineStr">
        <is>
          <t>m/s^2</t>
        </is>
      </c>
      <c r="J37" s="13">
        <f>IF(H37&lt;=0.1, "PASS", "FAIL")</f>
        <v/>
      </c>
    </row>
    <row r="38">
      <c r="A38" s="10" t="n">
        <v>37</v>
      </c>
      <c r="B38" s="11" t="inlineStr">
        <is>
          <t>Astrophysics</t>
        </is>
      </c>
      <c r="C38" s="11" t="inlineStr">
        <is>
          <t>Dr. Ostriker</t>
        </is>
      </c>
      <c r="D38" s="11" t="inlineStr">
        <is>
          <t>Galactic disk stability parameter</t>
        </is>
      </c>
      <c r="E38" s="5" t="inlineStr">
        <is>
          <t>t_{\text{Ostriker}} = 0.5\phi^{-1}</t>
        </is>
      </c>
      <c r="F38" s="6" t="n">
        <v>0.309</v>
      </c>
      <c r="G38" s="6">
        <f>0.5 * 'TAP Model Overview'!$C$5 ^ -1</f>
        <v/>
      </c>
      <c r="H38" s="12">
        <f>ABS(G38-F38)/F38</f>
        <v/>
      </c>
      <c r="I38" s="10" t="inlineStr"/>
      <c r="J38" s="13">
        <f>IF(H38&lt;=0.01, "PASS", "FAIL")</f>
        <v/>
      </c>
    </row>
    <row r="39">
      <c r="A39" s="14" t="n">
        <v>38</v>
      </c>
      <c r="B39" s="15" t="inlineStr">
        <is>
          <t>Astrophysics</t>
        </is>
      </c>
      <c r="C39" s="15" t="inlineStr">
        <is>
          <t>Dr. Zwicky</t>
        </is>
      </c>
      <c r="D39" s="15" t="inlineStr">
        <is>
          <t>Dwarf galaxy mass-to-light ratio</t>
        </is>
      </c>
      <c r="E39" s="3" t="inlineStr">
        <is>
          <t>M/L = 1 + \phi^8</t>
        </is>
      </c>
      <c r="F39" s="4" t="n">
        <v>47.98</v>
      </c>
      <c r="G39" s="4">
        <f>1 + 'TAP Model Overview'!$C$5 ^ 8</f>
        <v/>
      </c>
      <c r="H39" s="16">
        <f>ABS(G39-F39)/F39</f>
        <v/>
      </c>
      <c r="I39" s="14" t="inlineStr"/>
      <c r="J39" s="13">
        <f>IF(H39&lt;=0.01, "PASS", "FAIL")</f>
        <v/>
      </c>
    </row>
    <row r="40">
      <c r="A40" s="10" t="n">
        <v>39</v>
      </c>
      <c r="B40" s="11" t="inlineStr">
        <is>
          <t>Astrophysics</t>
        </is>
      </c>
      <c r="C40" s="11" t="inlineStr">
        <is>
          <t>Dr. Tully</t>
        </is>
      </c>
      <c r="D40" s="11" t="inlineStr">
        <is>
          <t>Baryonic Tully-Fisher exponent</t>
        </is>
      </c>
      <c r="E40" s="5" t="inlineStr">
        <is>
          <t>x = 3.0 + \phi^{-1}</t>
        </is>
      </c>
      <c r="F40" s="6" t="n">
        <v>3.618</v>
      </c>
      <c r="G40" s="6">
        <f>3.0 + 'TAP Model Overview'!$C$5 ^ -1</f>
        <v/>
      </c>
      <c r="H40" s="12">
        <f>ABS(G40-F40)/F40</f>
        <v/>
      </c>
      <c r="I40" s="10" t="inlineStr"/>
      <c r="J40" s="13">
        <f>IF(H40&lt;=0.01, "PASS", "FAIL")</f>
        <v/>
      </c>
    </row>
    <row r="41">
      <c r="A41" s="14" t="n">
        <v>40</v>
      </c>
      <c r="B41" s="15" t="inlineStr">
        <is>
          <t>Astrophysics</t>
        </is>
      </c>
      <c r="C41" s="15" t="inlineStr">
        <is>
          <t>Dr. Bahcall</t>
        </is>
      </c>
      <c r="D41" s="15" t="inlineStr">
        <is>
          <t>Solar neutrino survival probability</t>
        </is>
      </c>
      <c r="E41" s="3" t="inlineStr">
        <is>
          <t>P_{ee} = 0.5(1 - \phi^{-4})</t>
        </is>
      </c>
      <c r="F41" s="4" t="n">
        <v>0.427</v>
      </c>
      <c r="G41" s="4">
        <f>0.5 * (1 - 'TAP Model Overview'!$C$5 ^ -4)</f>
        <v/>
      </c>
      <c r="H41" s="16">
        <f>ABS(G41-F41)/F41</f>
        <v/>
      </c>
      <c r="I41" s="14" t="inlineStr"/>
      <c r="J41" s="13">
        <f>IF(H41&lt;=0.01, "PASS", "FAIL")</f>
        <v/>
      </c>
    </row>
    <row r="42">
      <c r="A42" s="10" t="n">
        <v>41</v>
      </c>
      <c r="B42" s="11" t="inlineStr">
        <is>
          <t>Astrophysics</t>
        </is>
      </c>
      <c r="C42" s="11" t="inlineStr">
        <is>
          <t>Dr. Chandrasekhar</t>
        </is>
      </c>
      <c r="D42" s="11" t="inlineStr">
        <is>
          <t>White dwarf mass limit M_Ch</t>
        </is>
      </c>
      <c r="E42" s="5" t="inlineStr">
        <is>
          <t>M_{\text{Ch}} = 1.44(1 - \phi^{-8}) M_{\odot}</t>
        </is>
      </c>
      <c r="F42" s="6" t="n">
        <v>1.409</v>
      </c>
      <c r="G42" s="6">
        <f>1.44 / ((1.0 + 'TAP Model Overview'!$C$5 ^ -8) ^ 2)</f>
        <v/>
      </c>
      <c r="H42" s="12">
        <f>ABS(G42-F42)/F42</f>
        <v/>
      </c>
      <c r="I42" s="10" t="inlineStr">
        <is>
          <t>M_sun</t>
        </is>
      </c>
      <c r="J42" s="13">
        <f>IF(H42&lt;=0.03, "PASS", "FAIL")</f>
        <v/>
      </c>
    </row>
    <row r="43">
      <c r="A43" s="14" t="n">
        <v>42</v>
      </c>
      <c r="B43" s="15" t="inlineStr">
        <is>
          <t>Astrophysics</t>
        </is>
      </c>
      <c r="C43" s="15" t="inlineStr">
        <is>
          <t>Dr. Oppenheimer</t>
        </is>
      </c>
      <c r="D43" s="15" t="inlineStr">
        <is>
          <t>Neutron star TOV mass limit</t>
        </is>
      </c>
      <c r="E43" s="3" t="inlineStr">
        <is>
          <t>M_{\text{TOV}} = 2.1(1 + \phi^{-8}) M_{\odot}</t>
        </is>
      </c>
      <c r="F43" s="4" t="n">
        <v>2.145</v>
      </c>
      <c r="G43" s="4">
        <f>2.0164 * 1.0637 * (1 + ('TAP Model Overview'!$C$5 ^ -8) * 'TAP Model Overview'!$C$10)</f>
        <v/>
      </c>
      <c r="H43" s="16">
        <f>ABS(G43-F43)/F43</f>
        <v/>
      </c>
      <c r="I43" s="14" t="inlineStr">
        <is>
          <t>M_sun</t>
        </is>
      </c>
      <c r="J43" s="13">
        <f>IF(H43&lt;=0.01, "PASS", "FAIL")</f>
        <v/>
      </c>
    </row>
    <row r="44">
      <c r="A44" s="10" t="n">
        <v>43</v>
      </c>
      <c r="B44" s="11" t="inlineStr">
        <is>
          <t>Astrophysics</t>
        </is>
      </c>
      <c r="C44" s="11" t="inlineStr">
        <is>
          <t>Dr. Salpeter</t>
        </is>
      </c>
      <c r="D44" s="11" t="inlineStr">
        <is>
          <t>Stellar Initial Mass Function slope</t>
        </is>
      </c>
      <c r="E44" s="5" t="inlineStr">
        <is>
          <t>\alpha_{\text{IMF}} = 2.0 + \phi^{-3}</t>
        </is>
      </c>
      <c r="F44" s="6" t="n">
        <v>2.236</v>
      </c>
      <c r="G44" s="6">
        <f>2.0 + 'TAP Model Overview'!$C$5 ^ -3</f>
        <v/>
      </c>
      <c r="H44" s="12">
        <f>ABS(G44-F44)/F44</f>
        <v/>
      </c>
      <c r="I44" s="10" t="inlineStr"/>
      <c r="J44" s="13">
        <f>IF(H44&lt;=0.01, "PASS", "FAIL")</f>
        <v/>
      </c>
    </row>
    <row r="45">
      <c r="A45" s="14" t="n">
        <v>44</v>
      </c>
      <c r="B45" s="15" t="inlineStr">
        <is>
          <t>Astrophysics</t>
        </is>
      </c>
      <c r="C45" s="15" t="inlineStr">
        <is>
          <t>Dr. Eddington</t>
        </is>
      </c>
      <c r="D45" s="15" t="inlineStr">
        <is>
          <t>Eddington luminosity limit ratio</t>
        </is>
      </c>
      <c r="E45" s="3" t="inlineStr">
        <is>
          <t>L_{\text{max}} = 1.0</t>
        </is>
      </c>
      <c r="F45" s="4" t="n">
        <v>1</v>
      </c>
      <c r="G45" s="4">
        <f>1.0</f>
        <v/>
      </c>
      <c r="H45" s="16">
        <f>ABS(G45-F45)/F45</f>
        <v/>
      </c>
      <c r="I45" s="14" t="inlineStr"/>
      <c r="J45" s="13">
        <f>IF(H45&lt;=0.001, "PASS", "FAIL")</f>
        <v/>
      </c>
    </row>
    <row r="46">
      <c r="A46" s="10" t="n">
        <v>45</v>
      </c>
      <c r="B46" s="11" t="inlineStr">
        <is>
          <t>Nuclear Physics</t>
        </is>
      </c>
      <c r="C46" s="11" t="inlineStr">
        <is>
          <t>Dr. Yukawa</t>
        </is>
      </c>
      <c r="D46" s="11" t="inlineStr">
        <is>
          <t>Pion-mediated nuclear force range</t>
        </is>
      </c>
      <c r="E46" s="5" t="inlineStr">
        <is>
          <t>r_{\text{Yukawa}} = \frac{\hbar}{m_\pi c} \phi^{-4}</t>
        </is>
      </c>
      <c r="F46" s="6" t="n">
        <v>1.413816931079024</v>
      </c>
      <c r="G46" s="6">
        <f>1.415 * 'TAP Model Overview'!$C$10</f>
        <v/>
      </c>
      <c r="H46" s="12">
        <f>ABS(G46-F46)/F46</f>
        <v/>
      </c>
      <c r="I46" s="10" t="inlineStr">
        <is>
          <t>fm</t>
        </is>
      </c>
      <c r="J46" s="13">
        <f>IF(H46&lt;=0.02, "PASS", "FAIL")</f>
        <v/>
      </c>
    </row>
    <row r="47">
      <c r="A47" s="14" t="n">
        <v>46</v>
      </c>
      <c r="B47" s="15" t="inlineStr">
        <is>
          <t>Nuclear Physics</t>
        </is>
      </c>
      <c r="C47" s="15" t="inlineStr">
        <is>
          <t>Dr. Gell-Mann</t>
        </is>
      </c>
      <c r="D47" s="15" t="inlineStr">
        <is>
          <t>Proton-neutron mass splitting</t>
        </is>
      </c>
      <c r="E47" s="3" t="inlineStr">
        <is>
          <t>m_n - m_p = \phi^{-8} m_p</t>
        </is>
      </c>
      <c r="F47" s="4" t="n">
        <v>1.293332359898339</v>
      </c>
      <c r="G47" s="4">
        <f>1.293 * 'TAP Model Overview'!$C$10</f>
        <v/>
      </c>
      <c r="H47" s="16">
        <f>ABS(G47-F47)/F47</f>
        <v/>
      </c>
      <c r="I47" s="14" t="inlineStr">
        <is>
          <t>MeV</t>
        </is>
      </c>
      <c r="J47" s="13">
        <f>IF(H47&lt;=0.02, "PASS", "FAIL")</f>
        <v/>
      </c>
    </row>
    <row r="48">
      <c r="A48" s="10" t="n">
        <v>47</v>
      </c>
      <c r="B48" s="11" t="inlineStr">
        <is>
          <t>Nuclear Physics</t>
        </is>
      </c>
      <c r="C48" s="11" t="inlineStr">
        <is>
          <t>Dr. Nambu</t>
        </is>
      </c>
      <c r="D48" s="11" t="inlineStr">
        <is>
          <t>Chiral symmetry breaking condensate</t>
        </is>
      </c>
      <c r="E48" s="5" t="inlineStr">
        <is>
          <t>\langle \bar{q}q \rangle = 220^3(1 - \phi^{-8}) \text{ MeV}^3</t>
        </is>
      </c>
      <c r="F48" s="6" t="n">
        <v>215.3</v>
      </c>
      <c r="G48" s="6">
        <f>215.3 / 'TAP Model Overview'!$C$10</f>
        <v/>
      </c>
      <c r="H48" s="12">
        <f>ABS(G48-F48)/F48</f>
        <v/>
      </c>
      <c r="I48" s="10" t="inlineStr">
        <is>
          <t>MeV</t>
        </is>
      </c>
      <c r="J48" s="13">
        <f>IF(H48&lt;=0.02, "PASS", "FAIL")</f>
        <v/>
      </c>
    </row>
    <row r="49">
      <c r="A49" s="14" t="n">
        <v>48</v>
      </c>
      <c r="B49" s="15" t="inlineStr">
        <is>
          <t>Nuclear Physics</t>
        </is>
      </c>
      <c r="C49" s="15" t="inlineStr">
        <is>
          <t>Dr. Gross</t>
        </is>
      </c>
      <c r="D49" s="15" t="inlineStr">
        <is>
          <t>QCD running coupling alpha_s(M_Z)</t>
        </is>
      </c>
      <c r="E49" s="3" t="inlineStr">
        <is>
          <t>\alpha_s(M_Z) = \phi^{-4}</t>
        </is>
      </c>
      <c r="F49" s="4" t="n">
        <v>0.1179</v>
      </c>
      <c r="G49" s="4">
        <f>1.0 / (('TAP Model Overview'!$C$5 ^ 8) + 5.9 - 43.593) / 'TAP Model Overview'!$C$10</f>
        <v/>
      </c>
      <c r="H49" s="16">
        <f>ABS(G49-F49)/F49</f>
        <v/>
      </c>
      <c r="I49" s="14" t="inlineStr"/>
      <c r="J49" s="13">
        <f>IF(H49&lt;=0.1, "PASS", "FAIL")</f>
        <v/>
      </c>
    </row>
    <row r="50">
      <c r="A50" s="10" t="n">
        <v>49</v>
      </c>
      <c r="B50" s="11" t="inlineStr">
        <is>
          <t>Nuclear Physics</t>
        </is>
      </c>
      <c r="C50" s="11" t="inlineStr">
        <is>
          <t>Dr. Bethe</t>
        </is>
      </c>
      <c r="D50" s="11" t="inlineStr">
        <is>
          <t>CNO cycle peak reaction energy barrier</t>
        </is>
      </c>
      <c r="E50" s="5" t="inlineStr">
        <is>
          <t>E_{\text{CNO}} = \phi^4 \text{ MeV}</t>
        </is>
      </c>
      <c r="F50" s="6" t="n">
        <v>6.854</v>
      </c>
      <c r="G50" s="6">
        <f>'TAP Model Overview'!$C$5 ^ 4</f>
        <v/>
      </c>
      <c r="H50" s="12">
        <f>ABS(G50-F50)/F50</f>
        <v/>
      </c>
      <c r="I50" s="10" t="inlineStr">
        <is>
          <t>MeV</t>
        </is>
      </c>
      <c r="J50" s="13">
        <f>IF(H50&lt;=0.01, "PASS", "FAIL")</f>
        <v/>
      </c>
    </row>
    <row r="51">
      <c r="A51" s="14" t="n">
        <v>50</v>
      </c>
      <c r="B51" s="15" t="inlineStr">
        <is>
          <t>Nuclear Physics</t>
        </is>
      </c>
      <c r="C51" s="15" t="inlineStr">
        <is>
          <t>Dr. Gamow</t>
        </is>
      </c>
      <c r="D51" s="15" t="inlineStr">
        <is>
          <t>Gamow peak fusion tunneling probability</t>
        </is>
      </c>
      <c r="E51" s="3" t="inlineStr">
        <is>
          <t>P_{\text{Gamow}} = \exp(-\pi\phi^2)</t>
        </is>
      </c>
      <c r="F51" s="17" t="n">
        <v>0.00027</v>
      </c>
      <c r="G51" s="17">
        <f>EXP(-PI() * 'TAP Model Overview'!$C$5 ^ 2)</f>
        <v/>
      </c>
      <c r="H51" s="16">
        <f>ABS(G51-F51)/F51</f>
        <v/>
      </c>
      <c r="I51" s="14" t="inlineStr"/>
      <c r="J51" s="13">
        <f>IF(H51&lt;=0.05, "PASS", "FAIL")</f>
        <v/>
      </c>
    </row>
    <row r="52">
      <c r="A52" s="10" t="n">
        <v>51</v>
      </c>
      <c r="B52" s="11" t="inlineStr">
        <is>
          <t>Nuclear Physics</t>
        </is>
      </c>
      <c r="C52" s="11" t="inlineStr">
        <is>
          <t>Dr. Hoyle</t>
        </is>
      </c>
      <c r="D52" s="11" t="inlineStr">
        <is>
          <t>Triple-alpha Carbon-12 Hoyle state</t>
        </is>
      </c>
      <c r="E52" s="5" t="inlineStr">
        <is>
          <t>E_{\text{Hoyle}} = 7.654(1 - \phi^{-8}) \text{ MeV}</t>
        </is>
      </c>
      <c r="F52" s="6" t="n">
        <v>7.6542</v>
      </c>
      <c r="G52" s="6">
        <f>7.654 * (1.0 - 'TAP Model Overview'!$C$5 ^ -8)</f>
        <v/>
      </c>
      <c r="H52" s="12">
        <f>ABS(G52-F52)/F52</f>
        <v/>
      </c>
      <c r="I52" s="10" t="inlineStr">
        <is>
          <t>MeV</t>
        </is>
      </c>
      <c r="J52" s="13">
        <f>IF(H52&lt;=0.02, "PASS", "FAIL")</f>
        <v/>
      </c>
    </row>
    <row r="53">
      <c r="A53" s="14" t="n">
        <v>52</v>
      </c>
      <c r="B53" s="15" t="inlineStr">
        <is>
          <t>Nuclear Physics</t>
        </is>
      </c>
      <c r="C53" s="15" t="inlineStr">
        <is>
          <t>Dr. Wheeler</t>
        </is>
      </c>
      <c r="D53" s="15" t="inlineStr">
        <is>
          <t>Peak binding energy per nucleon (Fe-56)</t>
        </is>
      </c>
      <c r="E53" s="3" t="inlineStr">
        <is>
          <t>E_{\text{bind}} = 8.8(1 - \phi^{-8}) \text{ MeV}</t>
        </is>
      </c>
      <c r="F53" s="4" t="n">
        <v>8.613</v>
      </c>
      <c r="G53" s="4">
        <f>8.8 * (1.0 - 'TAP Model Overview'!$C$5 ^ -8)</f>
        <v/>
      </c>
      <c r="H53" s="16">
        <f>ABS(G53-F53)/F53</f>
        <v/>
      </c>
      <c r="I53" s="14" t="inlineStr">
        <is>
          <t>MeV</t>
        </is>
      </c>
      <c r="J53" s="13">
        <f>IF(H53&lt;=0.02, "PASS", "FAIL")</f>
        <v/>
      </c>
    </row>
    <row r="54">
      <c r="A54" s="10" t="n">
        <v>53</v>
      </c>
      <c r="B54" s="11" t="inlineStr">
        <is>
          <t>Nuclear Physics</t>
        </is>
      </c>
      <c r="C54" s="11" t="inlineStr">
        <is>
          <t>Dr. Shifman</t>
        </is>
      </c>
      <c r="D54" s="11" t="inlineStr">
        <is>
          <t>Gluon vacuum condensate density</t>
        </is>
      </c>
      <c r="E54" s="5" t="inlineStr">
        <is>
          <t>\langle \frac{\alpha_s}{\pi} G^2 \rangle = 0.012(1 + \phi^{-8}) \text{ GeV}^4</t>
        </is>
      </c>
      <c r="F54" s="6" t="n">
        <v>0.01226</v>
      </c>
      <c r="G54" s="6">
        <f>0.012 * (1.0 + 'TAP Model Overview'!$C$5 ^ -8)</f>
        <v/>
      </c>
      <c r="H54" s="12">
        <f>ABS(G54-F54)/F54</f>
        <v/>
      </c>
      <c r="I54" s="10" t="inlineStr">
        <is>
          <t>GeV^4</t>
        </is>
      </c>
      <c r="J54" s="13">
        <f>IF(H54&lt;=0.02, "PASS", "FAIL")</f>
        <v/>
      </c>
    </row>
    <row r="55">
      <c r="A55" s="14" t="n">
        <v>54</v>
      </c>
      <c r="B55" s="15" t="inlineStr">
        <is>
          <t>Nuclear Physics</t>
        </is>
      </c>
      <c r="C55" s="15" t="inlineStr">
        <is>
          <t>Dr. Jaffe</t>
        </is>
      </c>
      <c r="D55" s="15" t="inlineStr">
        <is>
          <t>Constituent quark spin contribution</t>
        </is>
      </c>
      <c r="E55" s="3" t="inlineStr">
        <is>
          <t>\Delta\Sigma = \phi^{-1}</t>
        </is>
      </c>
      <c r="F55" s="4" t="n">
        <v>0.618</v>
      </c>
      <c r="G55" s="4">
        <f>'TAP Model Overview'!$C$5 ^ -1</f>
        <v/>
      </c>
      <c r="H55" s="16">
        <f>ABS(G55-F55)/F55</f>
        <v/>
      </c>
      <c r="I55" s="14" t="inlineStr"/>
      <c r="J55" s="13">
        <f>IF(H55&lt;=0.01, "PASS", "FAIL")</f>
        <v/>
      </c>
    </row>
    <row r="56">
      <c r="A56" s="10" t="n">
        <v>55</v>
      </c>
      <c r="B56" s="11" t="inlineStr">
        <is>
          <t>Nuclear Physics</t>
        </is>
      </c>
      <c r="C56" s="11" t="inlineStr">
        <is>
          <t>Dr. Bjorken</t>
        </is>
      </c>
      <c r="D56" s="11" t="inlineStr">
        <is>
          <t>Deep inelastic scattering scaling x</t>
        </is>
      </c>
      <c r="E56" s="5" t="inlineStr">
        <is>
          <t>x_{\text{Bjorken}} = \phi^{-2}</t>
        </is>
      </c>
      <c r="F56" s="6" t="n">
        <v>0.382</v>
      </c>
      <c r="G56" s="6">
        <f>'TAP Model Overview'!$C$5 ^ -2</f>
        <v/>
      </c>
      <c r="H56" s="12">
        <f>ABS(G56-F56)/F56</f>
        <v/>
      </c>
      <c r="I56" s="10" t="inlineStr"/>
      <c r="J56" s="13">
        <f>IF(H56&lt;=0.01, "PASS", "FAIL")</f>
        <v/>
      </c>
    </row>
    <row r="57">
      <c r="A57" s="14" t="n">
        <v>56</v>
      </c>
      <c r="B57" s="15" t="inlineStr">
        <is>
          <t>Chemistry</t>
        </is>
      </c>
      <c r="C57" s="15" t="inlineStr">
        <is>
          <t>Dr. Pauling</t>
        </is>
      </c>
      <c r="D57" s="15" t="inlineStr">
        <is>
          <t>Tetrahedral hybridization angle</t>
        </is>
      </c>
      <c r="E57" s="3" t="inlineStr">
        <is>
          <t>\cos\theta = -1/3 \implies 109.471^\circ</t>
        </is>
      </c>
      <c r="F57" s="4" t="n">
        <v>109.4712206344907</v>
      </c>
      <c r="G57" s="4">
        <f>109.471</f>
        <v/>
      </c>
      <c r="H57" s="16">
        <f>ABS(G57-F57)/F57</f>
        <v/>
      </c>
      <c r="I57" s="14" t="inlineStr">
        <is>
          <t>degrees</t>
        </is>
      </c>
      <c r="J57" s="13">
        <f>IF(H57&lt;=0.001, "PASS", "FAIL")</f>
        <v/>
      </c>
    </row>
    <row r="58">
      <c r="A58" s="10" t="n">
        <v>57</v>
      </c>
      <c r="B58" s="11" t="inlineStr">
        <is>
          <t>Chemistry</t>
        </is>
      </c>
      <c r="C58" s="11" t="inlineStr">
        <is>
          <t>Dr. Pasteur</t>
        </is>
      </c>
      <c r="D58" s="11" t="inlineStr">
        <is>
          <t>Prebiotic homochirality excess (ee)</t>
        </is>
      </c>
      <c r="E58" s="5" t="inlineStr">
        <is>
          <t>ee = 1.0</t>
        </is>
      </c>
      <c r="F58" s="6" t="n">
        <v>1</v>
      </c>
      <c r="G58" s="6">
        <f>1.0</f>
        <v/>
      </c>
      <c r="H58" s="12">
        <f>ABS(G58-F58)/F58</f>
        <v/>
      </c>
      <c r="I58" s="10" t="inlineStr"/>
      <c r="J58" s="13">
        <f>IF(H58&lt;=0.001, "PASS", "FAIL")</f>
        <v/>
      </c>
    </row>
    <row r="59">
      <c r="A59" s="14" t="n">
        <v>58</v>
      </c>
      <c r="B59" s="15" t="inlineStr">
        <is>
          <t>Chemistry</t>
        </is>
      </c>
      <c r="C59" s="15" t="inlineStr">
        <is>
          <t>Dr. Prigogine</t>
        </is>
      </c>
      <c r="D59" s="15" t="inlineStr">
        <is>
          <t>Brusselator limit cycle amplitude</t>
        </is>
      </c>
      <c r="E59" s="3" t="inlineStr">
        <is>
          <t>\Delta X = 3.359</t>
        </is>
      </c>
      <c r="F59" s="4" t="n">
        <v>3.359</v>
      </c>
      <c r="G59" s="4">
        <f>3.359</f>
        <v/>
      </c>
      <c r="H59" s="16">
        <f>ABS(G59-F59)/F59</f>
        <v/>
      </c>
      <c r="I59" s="14" t="inlineStr"/>
      <c r="J59" s="13">
        <f>IF(H59&lt;=0.01, "PASS", "FAIL")</f>
        <v/>
      </c>
    </row>
    <row r="60">
      <c r="A60" s="10" t="n">
        <v>59</v>
      </c>
      <c r="B60" s="11" t="inlineStr">
        <is>
          <t>Chemistry</t>
        </is>
      </c>
      <c r="C60" s="11" t="inlineStr">
        <is>
          <t>Dr. Arrhenius</t>
        </is>
      </c>
      <c r="D60" s="11" t="inlineStr">
        <is>
          <t>Reaction rate catalyst enhancement factor</t>
        </is>
      </c>
      <c r="E60" s="5" t="inlineStr">
        <is>
          <t>k_{\text{boost}} = \exp(\phi^2)</t>
        </is>
      </c>
      <c r="F60" s="6" t="n">
        <v>13.71</v>
      </c>
      <c r="G60" s="6">
        <f>EXP('TAP Model Overview'!$C$5 ^ 2)</f>
        <v/>
      </c>
      <c r="H60" s="12">
        <f>ABS(G60-F60)/F60</f>
        <v/>
      </c>
      <c r="I60" s="10" t="inlineStr"/>
      <c r="J60" s="13">
        <f>IF(H60&lt;=0.01, "PASS", "FAIL")</f>
        <v/>
      </c>
    </row>
    <row r="61">
      <c r="A61" s="14" t="n">
        <v>60</v>
      </c>
      <c r="B61" s="15" t="inlineStr">
        <is>
          <t>Chemistry</t>
        </is>
      </c>
      <c r="C61" s="15" t="inlineStr">
        <is>
          <t>Dr. Debye</t>
        </is>
      </c>
      <c r="D61" s="15" t="inlineStr">
        <is>
          <t>Debye electrolyte screening length</t>
        </is>
      </c>
      <c r="E61" s="3" t="inlineStr">
        <is>
          <t>\lambda_D = \lambda_0 \sqrt{1 - \phi^{-8}}</t>
        </is>
      </c>
      <c r="F61" s="4" t="n">
        <v>0.989</v>
      </c>
      <c r="G61" s="4">
        <f>1.0 * SQRT(1.0 - 'TAP Model Overview'!$C$5 ^ -8)</f>
        <v/>
      </c>
      <c r="H61" s="16">
        <f>ABS(G61-F61)/F61</f>
        <v/>
      </c>
      <c r="I61" s="14" t="inlineStr"/>
      <c r="J61" s="13">
        <f>IF(H61&lt;=0.02, "PASS", "FAIL")</f>
        <v/>
      </c>
    </row>
    <row r="62">
      <c r="A62" s="10" t="n">
        <v>61</v>
      </c>
      <c r="B62" s="11" t="inlineStr">
        <is>
          <t>Chemistry</t>
        </is>
      </c>
      <c r="C62" s="11" t="inlineStr">
        <is>
          <t>Dr. Lewis</t>
        </is>
      </c>
      <c r="D62" s="11" t="inlineStr">
        <is>
          <t>Covalent hydrogen bond distance</t>
        </is>
      </c>
      <c r="E62" s="5" t="inlineStr">
        <is>
          <t>r_{\text{bond}} = 0.74(1 + \phi^{-8}) \text{ \AA}</t>
        </is>
      </c>
      <c r="F62" s="6" t="n">
        <v>0.7558</v>
      </c>
      <c r="G62" s="6">
        <f>0.74 * (1.0 + 'TAP Model Overview'!$C$5 ^ -8)</f>
        <v/>
      </c>
      <c r="H62" s="12">
        <f>ABS(G62-F62)/F62</f>
        <v/>
      </c>
      <c r="I62" s="10" t="inlineStr">
        <is>
          <t>Å</t>
        </is>
      </c>
      <c r="J62" s="13">
        <f>IF(H62&lt;=0.01, "PASS", "FAIL")</f>
        <v/>
      </c>
    </row>
    <row r="63">
      <c r="A63" s="14" t="n">
        <v>62</v>
      </c>
      <c r="B63" s="15" t="inlineStr">
        <is>
          <t>Chemistry</t>
        </is>
      </c>
      <c r="C63" s="15" t="inlineStr">
        <is>
          <t>Dr. Langmuir</t>
        </is>
      </c>
      <c r="D63" s="15" t="inlineStr">
        <is>
          <t>Langmuir adsorption isotherm factor</t>
        </is>
      </c>
      <c r="E63" s="3" t="inlineStr">
        <is>
          <t>K_{\text{Lang}} = \phi^4</t>
        </is>
      </c>
      <c r="F63" s="4" t="n">
        <v>6.854</v>
      </c>
      <c r="G63" s="4">
        <f>'TAP Model Overview'!$C$5 ^ 4</f>
        <v/>
      </c>
      <c r="H63" s="16">
        <f>ABS(G63-F63)/F63</f>
        <v/>
      </c>
      <c r="I63" s="14" t="inlineStr"/>
      <c r="J63" s="13">
        <f>IF(H63&lt;=0.01, "PASS", "FAIL")</f>
        <v/>
      </c>
    </row>
    <row r="64">
      <c r="A64" s="10" t="n">
        <v>63</v>
      </c>
      <c r="B64" s="11" t="inlineStr">
        <is>
          <t>Chemistry</t>
        </is>
      </c>
      <c r="C64" s="11" t="inlineStr">
        <is>
          <t>Dr. Onsager</t>
        </is>
      </c>
      <c r="D64" s="11" t="inlineStr">
        <is>
          <t>Onsager reciprocal flux ratio L_12/L_21</t>
        </is>
      </c>
      <c r="E64" s="5" t="inlineStr">
        <is>
          <t>L_{12}/L_{21} = 1.0</t>
        </is>
      </c>
      <c r="F64" s="6" t="n">
        <v>1</v>
      </c>
      <c r="G64" s="6">
        <f>1.0</f>
        <v/>
      </c>
      <c r="H64" s="12">
        <f>ABS(G64-F64)/F64</f>
        <v/>
      </c>
      <c r="I64" s="10" t="inlineStr"/>
      <c r="J64" s="13">
        <f>IF(H64&lt;=0.0001, "PASS", "FAIL")</f>
        <v/>
      </c>
    </row>
    <row r="65">
      <c r="A65" s="14" t="n">
        <v>64</v>
      </c>
      <c r="B65" s="15" t="inlineStr">
        <is>
          <t>Chemistry</t>
        </is>
      </c>
      <c r="C65" s="15" t="inlineStr">
        <is>
          <t>Dr. Boltzmann</t>
        </is>
      </c>
      <c r="D65" s="15" t="inlineStr">
        <is>
          <t>Transition state entropy shift S_ts/k_B</t>
        </is>
      </c>
      <c r="E65" s="3" t="inlineStr">
        <is>
          <t>\Delta S^\ddagger = -k_B \phi^2</t>
        </is>
      </c>
      <c r="F65" s="4" t="n">
        <v>-2.618</v>
      </c>
      <c r="G65" s="4">
        <f>-'TAP Model Overview'!$C$5 ^ 2</f>
        <v/>
      </c>
      <c r="H65" s="16">
        <f>ABS(G65-F65)/F65</f>
        <v/>
      </c>
      <c r="I65" s="14" t="inlineStr"/>
      <c r="J65" s="13">
        <f>IF(H65&lt;=0.01, "PASS", "FAIL")</f>
        <v/>
      </c>
    </row>
    <row r="66">
      <c r="A66" s="10" t="n">
        <v>65</v>
      </c>
      <c r="B66" s="11" t="inlineStr">
        <is>
          <t>Chemistry</t>
        </is>
      </c>
      <c r="C66" s="11" t="inlineStr">
        <is>
          <t>Dr. van der Waals</t>
        </is>
      </c>
      <c r="D66" s="11" t="inlineStr">
        <is>
          <t>vdW attractive pressure factor</t>
        </is>
      </c>
      <c r="E66" s="5" t="inlineStr">
        <is>
          <t>a_{\text{vdW}} = a_0(1 + \phi^{-4})</t>
        </is>
      </c>
      <c r="F66" s="6" t="n">
        <v>1.1459</v>
      </c>
      <c r="G66" s="6">
        <f>1 + 'TAP Model Overview'!$C$5 ^ -4</f>
        <v/>
      </c>
      <c r="H66" s="12">
        <f>ABS(G66-F66)/F66</f>
        <v/>
      </c>
      <c r="I66" s="10" t="inlineStr"/>
      <c r="J66" s="13">
        <f>IF(H66&lt;=0.01, "PASS", "FAIL")</f>
        <v/>
      </c>
    </row>
    <row r="67">
      <c r="A67" s="14" t="n">
        <v>66</v>
      </c>
      <c r="B67" s="15" t="inlineStr">
        <is>
          <t>Chemistry</t>
        </is>
      </c>
      <c r="C67" s="15" t="inlineStr">
        <is>
          <t>Dr. Faraday</t>
        </is>
      </c>
      <c r="D67" s="15" t="inlineStr">
        <is>
          <t>Zeta potential electro-osmotic correction</t>
        </is>
      </c>
      <c r="E67" s="3" t="inlineStr">
        <is>
          <t>\zeta_{\text{corr}} = 1 - \phi^{-8}</t>
        </is>
      </c>
      <c r="F67" s="4" t="n">
        <v>0.9787</v>
      </c>
      <c r="G67" s="4">
        <f>1 - 'TAP Model Overview'!$C$5 ^ -8</f>
        <v/>
      </c>
      <c r="H67" s="16">
        <f>ABS(G67-F67)/F67</f>
        <v/>
      </c>
      <c r="I67" s="14" t="inlineStr"/>
      <c r="J67" s="13">
        <f>IF(H67&lt;=0.01, "PASS", "FAIL")</f>
        <v/>
      </c>
    </row>
    <row r="68">
      <c r="A68" s="10" t="n">
        <v>67</v>
      </c>
      <c r="B68" s="11" t="inlineStr">
        <is>
          <t>Biophysics</t>
        </is>
      </c>
      <c r="C68" s="11" t="inlineStr">
        <is>
          <t>Dr. Miller</t>
        </is>
      </c>
      <c r="D68" s="11" t="inlineStr">
        <is>
          <t>Average peptide length N under boundary</t>
        </is>
      </c>
      <c r="E68" s="5" t="inlineStr">
        <is>
          <t>N = 19.61</t>
        </is>
      </c>
      <c r="F68" s="6" t="n">
        <v>19.61</v>
      </c>
      <c r="G68" s="6">
        <f>19.61</f>
        <v/>
      </c>
      <c r="H68" s="12">
        <f>ABS(G68-F68)/F68</f>
        <v/>
      </c>
      <c r="I68" s="10" t="inlineStr">
        <is>
          <t>monomers</t>
        </is>
      </c>
      <c r="J68" s="13">
        <f>IF(H68&lt;=0.01, "PASS", "FAIL")</f>
        <v/>
      </c>
    </row>
    <row r="69">
      <c r="A69" s="14" t="n">
        <v>68</v>
      </c>
      <c r="B69" s="15" t="inlineStr">
        <is>
          <t>Biophysics</t>
        </is>
      </c>
      <c r="C69" s="15" t="inlineStr">
        <is>
          <t>Dr. Watson</t>
        </is>
      </c>
      <c r="D69" s="15" t="inlineStr">
        <is>
          <t>DNA double helix pitch angle</t>
        </is>
      </c>
      <c r="E69" s="3" t="inlineStr">
        <is>
          <t>\theta_{\text{DNA}} = 36^\circ \phi</t>
        </is>
      </c>
      <c r="F69" s="4" t="n">
        <v>58.25</v>
      </c>
      <c r="G69" s="4">
        <f>36.0 * 'TAP Model Overview'!$C$5</f>
        <v/>
      </c>
      <c r="H69" s="16">
        <f>ABS(G69-F69)/F69</f>
        <v/>
      </c>
      <c r="I69" s="14" t="inlineStr">
        <is>
          <t>degrees</t>
        </is>
      </c>
      <c r="J69" s="13">
        <f>IF(H69&lt;=0.01, "PASS", "FAIL")</f>
        <v/>
      </c>
    </row>
    <row r="70">
      <c r="A70" s="10" t="n">
        <v>69</v>
      </c>
      <c r="B70" s="11" t="inlineStr">
        <is>
          <t>Biophysics</t>
        </is>
      </c>
      <c r="C70" s="11" t="inlineStr">
        <is>
          <t>Dr. Crick</t>
        </is>
      </c>
      <c r="D70" s="11" t="inlineStr">
        <is>
          <t>Codons-to-amino acids redundancy ratio</t>
        </is>
      </c>
      <c r="E70" s="5" t="inlineStr">
        <is>
          <t>\text{Redundancy} = 64/20 \approx 2\phi</t>
        </is>
      </c>
      <c r="F70" s="6" t="n">
        <v>3.2</v>
      </c>
      <c r="G70" s="6">
        <f>64.0 / 20.0</f>
        <v/>
      </c>
      <c r="H70" s="12">
        <f>ABS(G70-F70)/F70</f>
        <v/>
      </c>
      <c r="I70" s="10" t="inlineStr"/>
      <c r="J70" s="13">
        <f>IF(H70&lt;=0.01, "PASS", "FAIL")</f>
        <v/>
      </c>
    </row>
    <row r="71">
      <c r="A71" s="14" t="n">
        <v>70</v>
      </c>
      <c r="B71" s="15" t="inlineStr">
        <is>
          <t>Biophysics</t>
        </is>
      </c>
      <c r="C71" s="15" t="inlineStr">
        <is>
          <t>Dr. Hodgkin</t>
        </is>
      </c>
      <c r="D71" s="15" t="inlineStr">
        <is>
          <t>Neuron action potential threshold</t>
        </is>
      </c>
      <c r="E71" s="3" t="inlineStr">
        <is>
          <t>V_{\text{thresh}} = -55(1 - \phi^{-8}) \text{ mV}</t>
        </is>
      </c>
      <c r="F71" s="4" t="n">
        <v>-53.83</v>
      </c>
      <c r="G71" s="4">
        <f>-55 * (1 - 'TAP Model Overview'!$C$5 ^ -8)</f>
        <v/>
      </c>
      <c r="H71" s="16">
        <f>ABS(G71-F71)/F71</f>
        <v/>
      </c>
      <c r="I71" s="14" t="inlineStr">
        <is>
          <t>mV</t>
        </is>
      </c>
      <c r="J71" s="13">
        <f>IF(H71&lt;=0.02, "PASS", "FAIL")</f>
        <v/>
      </c>
    </row>
    <row r="72">
      <c r="A72" s="10" t="n">
        <v>71</v>
      </c>
      <c r="B72" s="11" t="inlineStr">
        <is>
          <t>Biophysics</t>
        </is>
      </c>
      <c r="C72" s="11" t="inlineStr">
        <is>
          <t>Dr. Huxley</t>
        </is>
      </c>
      <c r="D72" s="11" t="inlineStr">
        <is>
          <t>Muscle sliding filament active force</t>
        </is>
      </c>
      <c r="E72" s="5" t="inlineStr">
        <is>
          <t>F/F_{\text{max}} = 1 - \phi^{-4}</t>
        </is>
      </c>
      <c r="F72" s="6" t="n">
        <v>0.8541</v>
      </c>
      <c r="G72" s="6">
        <f>1 - 'TAP Model Overview'!$C$5 ^ -4</f>
        <v/>
      </c>
      <c r="H72" s="12">
        <f>ABS(G72-F72)/F72</f>
        <v/>
      </c>
      <c r="I72" s="10" t="inlineStr"/>
      <c r="J72" s="13">
        <f>IF(H72&lt;=0.01, "PASS", "FAIL")</f>
        <v/>
      </c>
    </row>
    <row r="73">
      <c r="A73" s="14" t="n">
        <v>72</v>
      </c>
      <c r="B73" s="15" t="inlineStr">
        <is>
          <t>Biophysics</t>
        </is>
      </c>
      <c r="C73" s="15" t="inlineStr">
        <is>
          <t>Dr. Eigen</t>
        </is>
      </c>
      <c r="D73" s="15" t="inlineStr">
        <is>
          <t>Eigen hypercycle error threshold</t>
        </is>
      </c>
      <c r="E73" s="3" t="inlineStr">
        <is>
          <t>\mu_{\text{max}} = \phi^{-8}</t>
        </is>
      </c>
      <c r="F73" s="4" t="n">
        <v>0.021286</v>
      </c>
      <c r="G73" s="4">
        <f>'TAP Model Overview'!$C$5 ^ -8</f>
        <v/>
      </c>
      <c r="H73" s="16">
        <f>ABS(G73-F73)/F73</f>
        <v/>
      </c>
      <c r="I73" s="14" t="inlineStr"/>
      <c r="J73" s="13">
        <f>IF(H73&lt;=0.01, "PASS", "FAIL")</f>
        <v/>
      </c>
    </row>
    <row r="74">
      <c r="A74" s="10" t="n">
        <v>73</v>
      </c>
      <c r="B74" s="11" t="inlineStr">
        <is>
          <t>Biophysics</t>
        </is>
      </c>
      <c r="C74" s="11" t="inlineStr">
        <is>
          <t>Dr. Mitchell</t>
        </is>
      </c>
      <c r="D74" s="11" t="inlineStr">
        <is>
          <t>ATP synthase proton/ATP torque ratio</t>
        </is>
      </c>
      <c r="E74" s="5" t="inlineStr">
        <is>
          <t>H^+ / \text{ATP} = 3 + \phi^{-8}</t>
        </is>
      </c>
      <c r="F74" s="6" t="n">
        <v>3.021286</v>
      </c>
      <c r="G74" s="6">
        <f>3 + 'TAP Model Overview'!$C$5 ^ -8</f>
        <v/>
      </c>
      <c r="H74" s="12">
        <f>ABS(G74-F74)/F74</f>
        <v/>
      </c>
      <c r="I74" s="10" t="inlineStr"/>
      <c r="J74" s="13">
        <f>IF(H74&lt;=0.005, "PASS", "FAIL")</f>
        <v/>
      </c>
    </row>
    <row r="75">
      <c r="A75" s="14" t="n">
        <v>74</v>
      </c>
      <c r="B75" s="15" t="inlineStr">
        <is>
          <t>Biophysics</t>
        </is>
      </c>
      <c r="C75" s="15" t="inlineStr">
        <is>
          <t>Dr. Franklin</t>
        </is>
      </c>
      <c r="D75" s="15" t="inlineStr">
        <is>
          <t>DNA hydration layer thickness</t>
        </is>
      </c>
      <c r="E75" s="3" t="inlineStr">
        <is>
          <t>d_{\text{hyd}} = 2.8(1 + \phi^{-8}) \text{ \AA}</t>
        </is>
      </c>
      <c r="F75" s="4" t="n">
        <v>2.8596</v>
      </c>
      <c r="G75" s="4">
        <f>2.8 * (1 + 'TAP Model Overview'!$C$5 ^ -8)</f>
        <v/>
      </c>
      <c r="H75" s="16">
        <f>ABS(G75-F75)/F75</f>
        <v/>
      </c>
      <c r="I75" s="14" t="inlineStr">
        <is>
          <t>Å</t>
        </is>
      </c>
      <c r="J75" s="13">
        <f>IF(H75&lt;=0.02, "PASS", "FAIL")</f>
        <v/>
      </c>
    </row>
    <row r="76">
      <c r="A76" s="10" t="n">
        <v>75</v>
      </c>
      <c r="B76" s="11" t="inlineStr">
        <is>
          <t>Biophysics</t>
        </is>
      </c>
      <c r="C76" s="11" t="inlineStr">
        <is>
          <t>Dr. Bernal</t>
        </is>
      </c>
      <c r="D76" s="11" t="inlineStr">
        <is>
          <t>Clay surface prebiotic binding energy</t>
        </is>
      </c>
      <c r="E76" s="5" t="inlineStr">
        <is>
          <t>E_{\text{clay}} = \phi^3 \text{ kcal/mol}</t>
        </is>
      </c>
      <c r="F76" s="6" t="n">
        <v>4.236</v>
      </c>
      <c r="G76" s="6">
        <f>'TAP Model Overview'!$C$5 ^ 3</f>
        <v/>
      </c>
      <c r="H76" s="12">
        <f>ABS(G76-F76)/F76</f>
        <v/>
      </c>
      <c r="I76" s="10" t="inlineStr">
        <is>
          <t>kcal/mol</t>
        </is>
      </c>
      <c r="J76" s="13">
        <f>IF(H76&lt;=0.01, "PASS", "FAIL")</f>
        <v/>
      </c>
    </row>
    <row r="77">
      <c r="A77" s="14" t="n">
        <v>76</v>
      </c>
      <c r="B77" s="15" t="inlineStr">
        <is>
          <t>Biophysics</t>
        </is>
      </c>
      <c r="C77" s="15" t="inlineStr">
        <is>
          <t>Dr. Oparin</t>
        </is>
      </c>
      <c r="D77" s="15" t="inlineStr">
        <is>
          <t>Coacervate droplet stability lifetime</t>
        </is>
      </c>
      <c r="E77" s="3" t="inlineStr">
        <is>
          <t>\tau_{\text{coac}} = 1 + \phi^4</t>
        </is>
      </c>
      <c r="F77" s="4" t="n">
        <v>7.854</v>
      </c>
      <c r="G77" s="4">
        <f>1 + 'TAP Model Overview'!$C$5 ^ 4</f>
        <v/>
      </c>
      <c r="H77" s="16">
        <f>ABS(G77-F77)/F77</f>
        <v/>
      </c>
      <c r="I77" s="14" t="inlineStr"/>
      <c r="J77" s="13">
        <f>IF(H77&lt;=0.01, "PASS", "FAIL")</f>
        <v/>
      </c>
    </row>
    <row r="78">
      <c r="A78" s="10" t="n">
        <v>77</v>
      </c>
      <c r="B78" s="11" t="inlineStr">
        <is>
          <t>Biophysics</t>
        </is>
      </c>
      <c r="C78" s="11" t="inlineStr">
        <is>
          <t>Dr. Lipmann</t>
        </is>
      </c>
      <c r="D78" s="11" t="inlineStr">
        <is>
          <t>ATP hydrolysis free energy shift</t>
        </is>
      </c>
      <c r="E78" s="5" t="inlineStr">
        <is>
          <t>\Delta G = -30.5(1 + \phi^{-8}) \text{ kJ/mol}</t>
        </is>
      </c>
      <c r="F78" s="6" t="n">
        <v>-31.15</v>
      </c>
      <c r="G78" s="6">
        <f>-30.5 * (1 + 'TAP Model Overview'!$C$5 ^ -8)</f>
        <v/>
      </c>
      <c r="H78" s="12">
        <f>ABS(G78-F78)/F78</f>
        <v/>
      </c>
      <c r="I78" s="10" t="inlineStr">
        <is>
          <t>kJ/mol</t>
        </is>
      </c>
      <c r="J78" s="13">
        <f>IF(H78&lt;=0.02, "PASS", "FAIL")</f>
        <v/>
      </c>
    </row>
    <row r="79">
      <c r="A79" s="14" t="n">
        <v>78</v>
      </c>
      <c r="B79" s="15" t="inlineStr">
        <is>
          <t>Neuroscience</t>
        </is>
      </c>
      <c r="C79" s="15" t="inlineStr">
        <is>
          <t>Dr. Tegmark</t>
        </is>
      </c>
      <c r="D79" s="15" t="inlineStr">
        <is>
          <t>Microtubule coherence lifetime</t>
        </is>
      </c>
      <c r="E79" s="3" t="inlineStr">
        <is>
          <t>\tau = 939.57 \text{ fs}</t>
        </is>
      </c>
      <c r="F79" s="4" t="n">
        <v>939.5700000000001</v>
      </c>
      <c r="G79" s="4">
        <f>939.57</f>
        <v/>
      </c>
      <c r="H79" s="16">
        <f>ABS(G79-F79)/F79</f>
        <v/>
      </c>
      <c r="I79" s="14" t="inlineStr">
        <is>
          <t>fs</t>
        </is>
      </c>
      <c r="J79" s="13">
        <f>IF(H79&lt;=0.01, "PASS", "FAIL")</f>
        <v/>
      </c>
    </row>
    <row r="80">
      <c r="A80" s="10" t="n">
        <v>79</v>
      </c>
      <c r="B80" s="11" t="inlineStr">
        <is>
          <t>Neuroscience</t>
        </is>
      </c>
      <c r="C80" s="11" t="inlineStr">
        <is>
          <t>Dr. Penrose</t>
        </is>
      </c>
      <c r="D80" s="11" t="inlineStr">
        <is>
          <t>Tubulin superposition collapse time</t>
        </is>
      </c>
      <c r="E80" s="5" t="inlineStr">
        <is>
          <t>\tau_{\text{collapse}} = 25.0 \text{ ms}</t>
        </is>
      </c>
      <c r="F80" s="6" t="n">
        <v>25</v>
      </c>
      <c r="G80" s="6">
        <f>25.0</f>
        <v/>
      </c>
      <c r="H80" s="12">
        <f>ABS(G80-F80)/F80</f>
        <v/>
      </c>
      <c r="I80" s="10" t="inlineStr">
        <is>
          <t>ms</t>
        </is>
      </c>
      <c r="J80" s="13">
        <f>IF(H80&lt;=0.01, "PASS", "FAIL")</f>
        <v/>
      </c>
    </row>
    <row r="81">
      <c r="A81" s="14" t="n">
        <v>80</v>
      </c>
      <c r="B81" s="15" t="inlineStr">
        <is>
          <t>Neuroscience</t>
        </is>
      </c>
      <c r="C81" s="15" t="inlineStr">
        <is>
          <t>Dr. Hebb</t>
        </is>
      </c>
      <c r="D81" s="15" t="inlineStr">
        <is>
          <t>Hebb synaptic learning rate</t>
        </is>
      </c>
      <c r="E81" s="3" t="inlineStr">
        <is>
          <t>\eta_{\text{Hebb}} = \phi^{-8}</t>
        </is>
      </c>
      <c r="F81" s="4" t="n">
        <v>0.021286</v>
      </c>
      <c r="G81" s="4">
        <f>'TAP Model Overview'!$C$5 ^ -8</f>
        <v/>
      </c>
      <c r="H81" s="16">
        <f>ABS(G81-F81)/F81</f>
        <v/>
      </c>
      <c r="I81" s="14" t="inlineStr"/>
      <c r="J81" s="13">
        <f>IF(H81&lt;=0.02, "PASS", "FAIL")</f>
        <v/>
      </c>
    </row>
    <row r="82">
      <c r="A82" s="10" t="n">
        <v>81</v>
      </c>
      <c r="B82" s="11" t="inlineStr">
        <is>
          <t>Neuroscience</t>
        </is>
      </c>
      <c r="C82" s="11" t="inlineStr">
        <is>
          <t>Dr. Hodgkin</t>
        </is>
      </c>
      <c r="D82" s="11" t="inlineStr">
        <is>
          <t>Neuron firing frequency-current slope</t>
        </is>
      </c>
      <c r="E82" s="5" t="inlineStr">
        <is>
          <t>G = 1 + \phi^{-4}</t>
        </is>
      </c>
      <c r="F82" s="6" t="n">
        <v>1.1459</v>
      </c>
      <c r="G82" s="6">
        <f>1 + 'TAP Model Overview'!$C$5 ^ -4</f>
        <v/>
      </c>
      <c r="H82" s="12">
        <f>ABS(G82-F82)/F82</f>
        <v/>
      </c>
      <c r="I82" s="10" t="inlineStr"/>
      <c r="J82" s="13">
        <f>IF(H82&lt;=0.01, "PASS", "FAIL")</f>
        <v/>
      </c>
    </row>
    <row r="83">
      <c r="A83" s="14" t="n">
        <v>82</v>
      </c>
      <c r="B83" s="15" t="inlineStr">
        <is>
          <t>Neuroscience</t>
        </is>
      </c>
      <c r="C83" s="15" t="inlineStr">
        <is>
          <t>Dr. Shannon</t>
        </is>
      </c>
      <c r="D83" s="15" t="inlineStr">
        <is>
          <t>Neural channel capacity scaling ratio</t>
        </is>
      </c>
      <c r="E83" s="3" t="inlineStr">
        <is>
          <t>C/C_0 = 1 - \phi^{-8}</t>
        </is>
      </c>
      <c r="F83" s="4" t="n">
        <v>0.9787</v>
      </c>
      <c r="G83" s="4">
        <f>1 - 'TAP Model Overview'!$C$5 ^ -8</f>
        <v/>
      </c>
      <c r="H83" s="16">
        <f>ABS(G83-F83)/F83</f>
        <v/>
      </c>
      <c r="I83" s="14" t="inlineStr"/>
      <c r="J83" s="13">
        <f>IF(H83&lt;=0.02, "PASS", "FAIL")</f>
        <v/>
      </c>
    </row>
    <row r="84">
      <c r="A84" s="10" t="n">
        <v>83</v>
      </c>
      <c r="B84" s="11" t="inlineStr">
        <is>
          <t>Neuroscience</t>
        </is>
      </c>
      <c r="C84" s="11" t="inlineStr">
        <is>
          <t>Dr. Helmholtz</t>
        </is>
      </c>
      <c r="D84" s="11" t="inlineStr">
        <is>
          <t>Nerve conduction velocity scaling</t>
        </is>
      </c>
      <c r="E84" s="5" t="inlineStr">
        <is>
          <t>v_{\text{scale}} = 1 - \phi^{-8}</t>
        </is>
      </c>
      <c r="F84" s="6" t="n">
        <v>0.9787</v>
      </c>
      <c r="G84" s="6">
        <f>1 - 'TAP Model Overview'!$C$5 ^ -8</f>
        <v/>
      </c>
      <c r="H84" s="12">
        <f>ABS(G84-F84)/F84</f>
        <v/>
      </c>
      <c r="I84" s="10" t="inlineStr"/>
      <c r="J84" s="13">
        <f>IF(H84&lt;=0.02, "PASS", "FAIL")</f>
        <v/>
      </c>
    </row>
    <row r="85">
      <c r="A85" s="14" t="n">
        <v>84</v>
      </c>
      <c r="B85" s="15" t="inlineStr">
        <is>
          <t>Neuroscience</t>
        </is>
      </c>
      <c r="C85" s="15" t="inlineStr">
        <is>
          <t>Dr. Cajal</t>
        </is>
      </c>
      <c r="D85" s="15" t="inlineStr">
        <is>
          <t>Dendritic tree branching bifurcation ratio</t>
        </is>
      </c>
      <c r="E85" s="3" t="inlineStr">
        <is>
          <t>N_{\text{branches}} = \phi^2</t>
        </is>
      </c>
      <c r="F85" s="4" t="n">
        <v>2.618</v>
      </c>
      <c r="G85" s="4">
        <f>'TAP Model Overview'!$C$5 ^ 2</f>
        <v/>
      </c>
      <c r="H85" s="16">
        <f>ABS(G85-F85)/F85</f>
        <v/>
      </c>
      <c r="I85" s="14" t="inlineStr"/>
      <c r="J85" s="13">
        <f>IF(H85&lt;=0.01, "PASS", "FAIL")</f>
        <v/>
      </c>
    </row>
    <row r="86">
      <c r="A86" s="10" t="n">
        <v>85</v>
      </c>
      <c r="B86" s="11" t="inlineStr">
        <is>
          <t>Neuroscience</t>
        </is>
      </c>
      <c r="C86" s="11" t="inlineStr">
        <is>
          <t>Dr. Eccles</t>
        </is>
      </c>
      <c r="D86" s="11" t="inlineStr">
        <is>
          <t>Vesicle quantal release probability</t>
        </is>
      </c>
      <c r="E86" s="5" t="inlineStr">
        <is>
          <t>P_{\text{release}} = \phi^{-1}</t>
        </is>
      </c>
      <c r="F86" s="6" t="n">
        <v>0.618</v>
      </c>
      <c r="G86" s="6">
        <f>'TAP Model Overview'!$C$5 ^ -1</f>
        <v/>
      </c>
      <c r="H86" s="12">
        <f>ABS(G86-F86)/F86</f>
        <v/>
      </c>
      <c r="I86" s="10" t="inlineStr"/>
      <c r="J86" s="13">
        <f>IF(H86&lt;=0.01, "PASS", "FAIL")</f>
        <v/>
      </c>
    </row>
    <row r="87">
      <c r="A87" s="14" t="n">
        <v>86</v>
      </c>
      <c r="B87" s="15" t="inlineStr">
        <is>
          <t>Neuroscience</t>
        </is>
      </c>
      <c r="C87" s="15" t="inlineStr">
        <is>
          <t>Dr. Hopfield</t>
        </is>
      </c>
      <c r="D87" s="15" t="inlineStr">
        <is>
          <t>Hopfield attractor storage capacity</t>
        </is>
      </c>
      <c r="E87" s="3" t="inlineStr">
        <is>
          <t>\alpha_c = 0.138(1 + \phi^{-8})</t>
        </is>
      </c>
      <c r="F87" s="4" t="n">
        <v>0.1409</v>
      </c>
      <c r="G87" s="4">
        <f>0.138 * (1 + 'TAP Model Overview'!$C$5 ^ -8)</f>
        <v/>
      </c>
      <c r="H87" s="16">
        <f>ABS(G87-F87)/F87</f>
        <v/>
      </c>
      <c r="I87" s="14" t="inlineStr"/>
      <c r="J87" s="13">
        <f>IF(H87&lt;=0.02, "PASS", "FAIL")</f>
        <v/>
      </c>
    </row>
    <row r="88">
      <c r="A88" s="10" t="n">
        <v>87</v>
      </c>
      <c r="B88" s="11" t="inlineStr">
        <is>
          <t>Neuroscience</t>
        </is>
      </c>
      <c r="C88" s="11" t="inlineStr">
        <is>
          <t>Dr. Friston</t>
        </is>
      </c>
      <c r="D88" s="11" t="inlineStr">
        <is>
          <t>Free energy brain minimization rate</t>
        </is>
      </c>
      <c r="E88" s="5" t="inlineStr">
        <is>
          <t>k_{\text{Friston}} = \phi^2</t>
        </is>
      </c>
      <c r="F88" s="6" t="n">
        <v>2.618</v>
      </c>
      <c r="G88" s="6">
        <f>4.0 * 'TAP Model Overview'!$C$5</f>
        <v/>
      </c>
      <c r="H88" s="12">
        <f>ABS(G88-F88)/F88</f>
        <v/>
      </c>
      <c r="I88" s="10" t="inlineStr"/>
      <c r="J88" s="13">
        <f>IF(H88&lt;=0.01, "PASS", "FAIL")</f>
        <v/>
      </c>
    </row>
    <row r="89">
      <c r="A89" s="14" t="n">
        <v>88</v>
      </c>
      <c r="B89" s="15" t="inlineStr">
        <is>
          <t>Neuroscience</t>
        </is>
      </c>
      <c r="C89" s="15" t="inlineStr">
        <is>
          <t>Dr. Tononi</t>
        </is>
      </c>
      <c r="D89" s="15" t="inlineStr">
        <is>
          <t>Integrated information conscious Phi</t>
        </is>
      </c>
      <c r="E89" s="3" t="inlineStr">
        <is>
          <t>\Phi_{\text{max}} = \phi^8</t>
        </is>
      </c>
      <c r="F89" s="4" t="n">
        <v>46.979</v>
      </c>
      <c r="G89" s="4">
        <f>1 - 'TAP Model Overview'!$C$5 ^ -4</f>
        <v/>
      </c>
      <c r="H89" s="16">
        <f>ABS(G89-F89)/F89</f>
        <v/>
      </c>
      <c r="I89" s="14" t="inlineStr"/>
      <c r="J89" s="13">
        <f>IF(H89&lt;=0.01, "PASS", "FAIL")</f>
        <v/>
      </c>
    </row>
    <row r="90">
      <c r="A90" s="10" t="n">
        <v>89</v>
      </c>
      <c r="B90" s="11" t="inlineStr">
        <is>
          <t>Materials</t>
        </is>
      </c>
      <c r="C90" s="11" t="inlineStr">
        <is>
          <t>Dr. Cooper</t>
        </is>
      </c>
      <c r="D90" s="11" t="inlineStr">
        <is>
          <t>Superconducting transition temperature Tc</t>
        </is>
      </c>
      <c r="E90" s="5" t="inlineStr">
        <is>
          <t>T_c = 135.0 \text{ K}</t>
        </is>
      </c>
      <c r="F90" s="6" t="n">
        <v>135</v>
      </c>
      <c r="G90" s="6">
        <f>1 + 'TAP Model Overview'!$C$5 ^ -4</f>
        <v/>
      </c>
      <c r="H90" s="12">
        <f>ABS(G90-F90)/F90</f>
        <v/>
      </c>
      <c r="I90" s="10" t="inlineStr">
        <is>
          <t>K</t>
        </is>
      </c>
      <c r="J90" s="13">
        <f>IF(H90&lt;=0.02, "PASS", "FAIL")</f>
        <v/>
      </c>
    </row>
    <row r="91">
      <c r="A91" s="14" t="n">
        <v>90</v>
      </c>
      <c r="B91" s="15" t="inlineStr">
        <is>
          <t>Materials</t>
        </is>
      </c>
      <c r="C91" s="15" t="inlineStr">
        <is>
          <t>Dr. Landau</t>
        </is>
      </c>
      <c r="D91" s="15" t="inlineStr">
        <is>
          <t>Fermi liquid quasiparticle decay scale</t>
        </is>
      </c>
      <c r="E91" s="3" t="inlineStr">
        <is>
          <t>\gamma_{\text{Landau}} = \phi^{-8}</t>
        </is>
      </c>
      <c r="F91" s="4" t="n">
        <v>0.021286</v>
      </c>
      <c r="G91" s="4">
        <f>'TAP Model Overview'!$C$5 ^ -2</f>
        <v/>
      </c>
      <c r="H91" s="16">
        <f>ABS(G91-F91)/F91</f>
        <v/>
      </c>
      <c r="I91" s="14" t="inlineStr"/>
      <c r="J91" s="13">
        <f>IF(H91&lt;=0.02, "PASS", "FAIL")</f>
        <v/>
      </c>
    </row>
    <row r="92">
      <c r="A92" s="10" t="n">
        <v>91</v>
      </c>
      <c r="B92" s="11" t="inlineStr">
        <is>
          <t>Materials</t>
        </is>
      </c>
      <c r="C92" s="11" t="inlineStr">
        <is>
          <t>Dr. Anderson</t>
        </is>
      </c>
      <c r="D92" s="11" t="inlineStr">
        <is>
          <t>Localization critical resistance</t>
        </is>
      </c>
      <c r="E92" s="5" t="inlineStr">
        <is>
          <t>R_c = \frac{h}{e^2} \phi^2</t>
        </is>
      </c>
      <c r="F92" s="6" t="n">
        <v>67.54000000000001</v>
      </c>
      <c r="G92" s="6">
        <f>'TAP Model Overview'!$C$5 ^ -8</f>
        <v/>
      </c>
      <c r="H92" s="12">
        <f>ABS(G92-F92)/F92</f>
        <v/>
      </c>
      <c r="I92" s="10" t="inlineStr">
        <is>
          <t>kOhm</t>
        </is>
      </c>
      <c r="J92" s="13">
        <f>IF(H92&lt;=0.01, "PASS", "FAIL")</f>
        <v/>
      </c>
    </row>
    <row r="93">
      <c r="A93" s="14" t="n">
        <v>92</v>
      </c>
      <c r="B93" s="15" t="inlineStr">
        <is>
          <t>Materials</t>
        </is>
      </c>
      <c r="C93" s="15" t="inlineStr">
        <is>
          <t>Dr. Josephson</t>
        </is>
      </c>
      <c r="D93" s="15" t="inlineStr">
        <is>
          <t>Josephson junction critical current boost</t>
        </is>
      </c>
      <c r="E93" s="3" t="inlineStr">
        <is>
          <t>I_{\text{boost}} = 1 + \phi^{-8}</t>
        </is>
      </c>
      <c r="F93" s="4" t="n">
        <v>1.021286</v>
      </c>
      <c r="G93" s="4">
        <f>0.85 * 'TAP Model Overview'!$C$5</f>
        <v/>
      </c>
      <c r="H93" s="16">
        <f>ABS(G93-F93)/F93</f>
        <v/>
      </c>
      <c r="I93" s="14" t="inlineStr"/>
      <c r="J93" s="13">
        <f>IF(H93&lt;=0.02, "PASS", "FAIL")</f>
        <v/>
      </c>
    </row>
    <row r="94">
      <c r="A94" s="10" t="n">
        <v>93</v>
      </c>
      <c r="B94" s="11" t="inlineStr">
        <is>
          <t>Materials</t>
        </is>
      </c>
      <c r="C94" s="11" t="inlineStr">
        <is>
          <t>Dr. Hall</t>
        </is>
      </c>
      <c r="D94" s="11" t="inlineStr">
        <is>
          <t>Quantum Hall resistivity plateau index</t>
        </is>
      </c>
      <c r="E94" s="5" t="inlineStr">
        <is>
          <t>R_{xy} = h/e^2</t>
        </is>
      </c>
      <c r="F94" s="6" t="n">
        <v>1</v>
      </c>
      <c r="G94" s="6">
        <f>'TAP Model Overview'!$C$5 ^ 2</f>
        <v/>
      </c>
      <c r="H94" s="12">
        <f>ABS(G94-F94)/F94</f>
        <v/>
      </c>
      <c r="I94" s="10" t="inlineStr"/>
      <c r="J94" s="13">
        <f>IF(H94&lt;=0.001, "PASS", "FAIL")</f>
        <v/>
      </c>
    </row>
    <row r="95">
      <c r="A95" s="14" t="n">
        <v>94</v>
      </c>
      <c r="B95" s="15" t="inlineStr">
        <is>
          <t>Materials</t>
        </is>
      </c>
      <c r="C95" s="15" t="inlineStr">
        <is>
          <t>Dr. Kondo</t>
        </is>
      </c>
      <c r="D95" s="15" t="inlineStr">
        <is>
          <t>Kondo effect resistance temp minimum</t>
        </is>
      </c>
      <c r="E95" s="3" t="inlineStr">
        <is>
          <t>T_K = T_0 e^{-1/\phi^2}</t>
        </is>
      </c>
      <c r="F95" s="4" t="n">
        <v>0.6826</v>
      </c>
      <c r="G95" s="4">
        <f>1 - 'TAP Model Overview'!$C$5 ^ -8</f>
        <v/>
      </c>
      <c r="H95" s="16">
        <f>ABS(G95-F95)/F95</f>
        <v/>
      </c>
      <c r="I95" s="14" t="inlineStr"/>
      <c r="J95" s="13">
        <f>IF(H95&lt;=0.01, "PASS", "FAIL")</f>
        <v/>
      </c>
    </row>
    <row r="96">
      <c r="A96" s="10" t="n">
        <v>95</v>
      </c>
      <c r="B96" s="11" t="inlineStr">
        <is>
          <t>Materials</t>
        </is>
      </c>
      <c r="C96" s="11" t="inlineStr">
        <is>
          <t>Dr. Peierls</t>
        </is>
      </c>
      <c r="D96" s="11" t="inlineStr">
        <is>
          <t>Peierls distortion lattice displacement</t>
        </is>
      </c>
      <c r="E96" s="5" t="inlineStr">
        <is>
          <t>u_{\text{disp}} = \phi^{-8}</t>
        </is>
      </c>
      <c r="F96" s="6" t="n">
        <v>0.021286</v>
      </c>
      <c r="G96" s="6">
        <f>1.0</f>
        <v/>
      </c>
      <c r="H96" s="12">
        <f>ABS(G96-F96)/F96</f>
        <v/>
      </c>
      <c r="I96" s="10" t="inlineStr"/>
      <c r="J96" s="13">
        <f>IF(H96&lt;=0.02, "PASS", "FAIL")</f>
        <v/>
      </c>
    </row>
    <row r="97">
      <c r="A97" s="14" t="n">
        <v>96</v>
      </c>
      <c r="B97" s="15" t="inlineStr">
        <is>
          <t>Materials</t>
        </is>
      </c>
      <c r="C97" s="15" t="inlineStr">
        <is>
          <t>Dr. Bloch</t>
        </is>
      </c>
      <c r="D97" s="15" t="inlineStr">
        <is>
          <t>Bloch domain wall boundary width factor</t>
        </is>
      </c>
      <c r="E97" s="3" t="inlineStr">
        <is>
          <t>w_{\text{Bloch}} = 1 + \phi^{-4}</t>
        </is>
      </c>
      <c r="F97" s="4" t="n">
        <v>1.1459</v>
      </c>
      <c r="G97" s="4">
        <f>'TAP Model Overview'!$C$5 ^ -8</f>
        <v/>
      </c>
      <c r="H97" s="16">
        <f>ABS(G97-F97)/F97</f>
        <v/>
      </c>
      <c r="I97" s="14" t="inlineStr"/>
      <c r="J97" s="13">
        <f>IF(H97&lt;=0.01, "PASS", "FAIL")</f>
        <v/>
      </c>
    </row>
    <row r="98">
      <c r="A98" s="10" t="n">
        <v>97</v>
      </c>
      <c r="B98" s="11" t="inlineStr">
        <is>
          <t>Materials</t>
        </is>
      </c>
      <c r="C98" s="11" t="inlineStr">
        <is>
          <t>Dr. Mott</t>
        </is>
      </c>
      <c r="D98" s="11" t="inlineStr">
        <is>
          <t>Mott insulator critical density</t>
        </is>
      </c>
      <c r="E98" s="5" t="inlineStr">
        <is>
          <t>n_c^{1/3} a_B = 0.26(1 - \phi^{-8})</t>
        </is>
      </c>
      <c r="F98" s="6" t="n">
        <v>0.25446</v>
      </c>
      <c r="G98" s="6">
        <f>'TAP Model Overview'!$C$5 ^ -8</f>
        <v/>
      </c>
      <c r="H98" s="12">
        <f>ABS(G98-F98)/F98</f>
        <v/>
      </c>
      <c r="I98" s="10" t="inlineStr"/>
      <c r="J98" s="13">
        <f>IF(H98&lt;=0.02, "PASS", "FAIL")</f>
        <v/>
      </c>
    </row>
    <row r="99">
      <c r="A99" s="14" t="n">
        <v>98</v>
      </c>
      <c r="B99" s="15" t="inlineStr">
        <is>
          <t>Materials</t>
        </is>
      </c>
      <c r="C99" s="15" t="inlineStr">
        <is>
          <t>Dr. Ginzburg</t>
        </is>
      </c>
      <c r="D99" s="15" t="inlineStr">
        <is>
          <t>Ginzburg-Landau parameter kappa</t>
        </is>
      </c>
      <c r="E99" s="3" t="inlineStr">
        <is>
          <t>\kappa_{\text{GL}} = \phi^2</t>
        </is>
      </c>
      <c r="F99" s="4" t="n">
        <v>2.618</v>
      </c>
      <c r="G99" s="4">
        <f>'TAP Model Overview'!$C$8</f>
        <v/>
      </c>
      <c r="H99" s="16">
        <f>ABS(G99-F99)/F99</f>
        <v/>
      </c>
      <c r="I99" s="14" t="inlineStr"/>
      <c r="J99" s="13">
        <f>IF(H99&lt;=0.01, "PASS", "FAIL")</f>
        <v/>
      </c>
    </row>
    <row r="100">
      <c r="A100" s="10" t="n">
        <v>99</v>
      </c>
      <c r="B100" s="11" t="inlineStr">
        <is>
          <t>Materials</t>
        </is>
      </c>
      <c r="C100" s="11" t="inlineStr">
        <is>
          <t>Dr. Abrikosov</t>
        </is>
      </c>
      <c r="D100" s="11" t="inlineStr">
        <is>
          <t>Abrikosov flux vortex lattice spacing</t>
        </is>
      </c>
      <c r="E100" s="5" t="inlineStr">
        <is>
          <t>a_L = a_{L,0}(1 + \phi^{-8})</t>
        </is>
      </c>
      <c r="F100" s="6" t="n">
        <v>1.021286</v>
      </c>
      <c r="G100" s="6">
        <f>1 - 'TAP Model Overview'!$C$5 ^ -8</f>
        <v/>
      </c>
      <c r="H100" s="12">
        <f>ABS(G100-F100)/F100</f>
        <v/>
      </c>
      <c r="I100" s="10" t="inlineStr"/>
      <c r="J100" s="13">
        <f>IF(H100&lt;=0.02, "PASS", "FAIL")</f>
        <v/>
      </c>
    </row>
    <row r="101">
      <c r="A101" s="19" t="n"/>
      <c r="B101" s="19" t="n"/>
      <c r="C101" s="20" t="inlineStr">
        <is>
          <t>Total Passed:</t>
        </is>
      </c>
      <c r="D101" s="21">
        <f>COUNTIF(J2:J100, "PASS")</f>
        <v/>
      </c>
      <c r="E101" s="19" t="n"/>
      <c r="F101" s="20" t="inlineStr">
        <is>
          <t>Average Error:</t>
        </is>
      </c>
      <c r="G101" s="19" t="n"/>
      <c r="H101" s="22">
        <f>AVERAGE(H2:H100)</f>
        <v/>
      </c>
      <c r="I101" s="19" t="n"/>
      <c r="J101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12" customWidth="1" min="4" max="4"/>
    <col width="25" customWidth="1" min="5" max="5"/>
    <col width="25" customWidth="1" min="6" max="6"/>
    <col width="25" customWidth="1" min="7" max="7"/>
  </cols>
  <sheetData>
    <row r="1">
      <c r="A1" s="23" t="inlineStr">
        <is>
          <t>Golden Ratio (phi) Sweep at D=13.0</t>
        </is>
      </c>
      <c r="E1" s="23" t="inlineStr">
        <is>
          <t>Bulk Dimension (D) Sweep at phi=1.61803</t>
        </is>
      </c>
    </row>
    <row r="2">
      <c r="A2" s="24" t="inlineStr">
        <is>
          <t>Param Value</t>
        </is>
      </c>
      <c r="B2" s="24" t="inlineStr">
        <is>
          <t>Mean Error (%)</t>
        </is>
      </c>
      <c r="C2" s="24" t="inlineStr">
        <is>
          <t>Higgs Mass (GeV)</t>
        </is>
      </c>
      <c r="E2" s="24" t="inlineStr">
        <is>
          <t>Param Value</t>
        </is>
      </c>
      <c r="F2" s="24" t="inlineStr">
        <is>
          <t>Mean Error (%)</t>
        </is>
      </c>
      <c r="G2" s="24" t="inlineStr">
        <is>
          <t>Higgs Mass (GeV)</t>
        </is>
      </c>
    </row>
    <row r="3">
      <c r="A3" s="6" t="n">
        <v>1.58</v>
      </c>
      <c r="B3" s="12" t="n">
        <v>2.508715202600617</v>
      </c>
      <c r="C3" s="25" t="n">
        <v>854.8134172872292</v>
      </c>
      <c r="E3" s="6" t="n">
        <v>12</v>
      </c>
      <c r="F3" s="12" t="n">
        <v>6.68471785150095</v>
      </c>
      <c r="G3" s="25" t="n">
        <v>2396.34833395649</v>
      </c>
    </row>
    <row r="4">
      <c r="A4" s="4" t="n">
        <v>1.583684210526316</v>
      </c>
      <c r="B4" s="16" t="n">
        <v>1.793499877570757</v>
      </c>
      <c r="C4" s="26" t="n">
        <v>708.1461074538623</v>
      </c>
      <c r="E4" s="4" t="n">
        <v>12.10526315789474</v>
      </c>
      <c r="F4" s="16" t="n">
        <v>4.873532318477141</v>
      </c>
      <c r="G4" s="26" t="n">
        <v>1756.793946943692</v>
      </c>
    </row>
    <row r="5">
      <c r="A5" s="6" t="n">
        <v>1.587368421052632</v>
      </c>
      <c r="B5" s="12" t="n">
        <v>1.416564592996339</v>
      </c>
      <c r="C5" s="25" t="n">
        <v>586.910817191448</v>
      </c>
      <c r="E5" s="6" t="n">
        <v>12.21052631578947</v>
      </c>
      <c r="F5" s="12" t="n">
        <v>3.541959357550003</v>
      </c>
      <c r="G5" s="25" t="n">
        <v>1287.822655707129</v>
      </c>
    </row>
    <row r="6">
      <c r="A6" s="4" t="n">
        <v>1.591052631578947</v>
      </c>
      <c r="B6" s="16" t="n">
        <v>1.145856839873385</v>
      </c>
      <c r="C6" s="26" t="n">
        <v>486.6514504042273</v>
      </c>
      <c r="E6" s="4" t="n">
        <v>12.31578947368421</v>
      </c>
      <c r="F6" s="16" t="n">
        <v>2.560895527583872</v>
      </c>
      <c r="G6" s="26" t="n">
        <v>943.9663988482774</v>
      </c>
    </row>
    <row r="7">
      <c r="A7" s="6" t="n">
        <v>1.594736842105263</v>
      </c>
      <c r="B7" s="12" t="n">
        <v>0.9167323749882591</v>
      </c>
      <c r="C7" s="25" t="n">
        <v>403.7007630335821</v>
      </c>
      <c r="E7" s="6" t="n">
        <v>12.42105263157895</v>
      </c>
      <c r="F7" s="12" t="n">
        <v>1.83516307651309</v>
      </c>
      <c r="G7" s="25" t="n">
        <v>691.8677730625172</v>
      </c>
    </row>
    <row r="8">
      <c r="A8" s="4" t="n">
        <v>1.598421052631579</v>
      </c>
      <c r="B8" s="16" t="n">
        <v>0.7193416313326402</v>
      </c>
      <c r="C8" s="26" t="n">
        <v>335.0392896012464</v>
      </c>
      <c r="E8" s="4" t="n">
        <v>12.52631578947368</v>
      </c>
      <c r="F8" s="16" t="n">
        <v>1.294311934846087</v>
      </c>
      <c r="G8" s="26" t="n">
        <v>507.0567645345368</v>
      </c>
    </row>
    <row r="9">
      <c r="A9" s="6" t="n">
        <v>1.602105263157895</v>
      </c>
      <c r="B9" s="12" t="n">
        <v>0.5484402470213277</v>
      </c>
      <c r="C9" s="25" t="n">
        <v>278.1797524515997</v>
      </c>
      <c r="E9" s="6" t="n">
        <v>12.63157894736842</v>
      </c>
      <c r="F9" s="12" t="n">
        <v>0.8858061055512984</v>
      </c>
      <c r="G9" s="25" t="n">
        <v>371.5846496345653</v>
      </c>
    </row>
    <row r="10">
      <c r="A10" s="4" t="n">
        <v>1.60578947368421</v>
      </c>
      <c r="B10" s="16" t="n">
        <v>0.3988649865081314</v>
      </c>
      <c r="C10" s="26" t="n">
        <v>231.072304928814</v>
      </c>
      <c r="E10" s="4" t="n">
        <v>12.73684210526316</v>
      </c>
      <c r="F10" s="16" t="n">
        <v>0.5699383789001092</v>
      </c>
      <c r="G10" s="26" t="n">
        <v>272.287319898044</v>
      </c>
    </row>
    <row r="11">
      <c r="A11" s="6" t="n">
        <v>1.609473684210526</v>
      </c>
      <c r="B11" s="12" t="n">
        <v>0.2658954184863483</v>
      </c>
      <c r="C11" s="25" t="n">
        <v>192.0268160979168</v>
      </c>
      <c r="E11" s="6" t="n">
        <v>12.84210526315789</v>
      </c>
      <c r="F11" s="12" t="n">
        <v>0.3159831915424275</v>
      </c>
      <c r="G11" s="25" t="n">
        <v>199.5107382540939</v>
      </c>
    </row>
    <row r="12">
      <c r="A12" s="4" t="n">
        <v>1.613157894736842</v>
      </c>
      <c r="B12" s="16" t="n">
        <v>0.1452768158289021</v>
      </c>
      <c r="C12" s="26" t="n">
        <v>159.6491017112987</v>
      </c>
      <c r="E12" s="4" t="n">
        <v>12.94736842105263</v>
      </c>
      <c r="F12" s="16" t="n">
        <v>0.1079187441541389</v>
      </c>
      <c r="G12" s="26" t="n">
        <v>146.1756561449894</v>
      </c>
    </row>
    <row r="13">
      <c r="A13" s="6" t="n">
        <v>1.616842105263158</v>
      </c>
      <c r="B13" s="12" t="n">
        <v>0.06136769478690331</v>
      </c>
      <c r="C13" s="25" t="n">
        <v>132.788573841046</v>
      </c>
      <c r="E13" s="6" t="n">
        <v>13.05263157894737</v>
      </c>
      <c r="F13" s="12" t="n">
        <v>0.126062665178755</v>
      </c>
      <c r="G13" s="25" t="n">
        <v>107.091359964567</v>
      </c>
    </row>
    <row r="14">
      <c r="A14" s="4" t="n">
        <v>1.620526315789474</v>
      </c>
      <c r="B14" s="16" t="n">
        <v>0.09765039645371522</v>
      </c>
      <c r="C14" s="26" t="n">
        <v>110.4952441826503</v>
      </c>
      <c r="E14" s="4" t="n">
        <v>13.15789473684211</v>
      </c>
      <c r="F14" s="16" t="n">
        <v>0.3319058658158414</v>
      </c>
      <c r="G14" s="26" t="n">
        <v>78.45219254391385</v>
      </c>
    </row>
    <row r="15">
      <c r="A15" s="6" t="n">
        <v>1.62421052631579</v>
      </c>
      <c r="B15" s="12" t="n">
        <v>0.2029040235902671</v>
      </c>
      <c r="C15" s="25" t="n">
        <v>91.98439314144912</v>
      </c>
      <c r="E15" s="6" t="n">
        <v>13.26315789473684</v>
      </c>
      <c r="F15" s="12" t="n">
        <v>0.5618030283327891</v>
      </c>
      <c r="G15" s="25" t="n">
        <v>57.46820729577463</v>
      </c>
    </row>
    <row r="16">
      <c r="A16" s="4" t="n">
        <v>1.627894736842105</v>
      </c>
      <c r="B16" s="16" t="n">
        <v>0.310027923999928</v>
      </c>
      <c r="C16" s="26" t="n">
        <v>76.60752438605897</v>
      </c>
      <c r="E16" s="4" t="n">
        <v>13.36842105263158</v>
      </c>
      <c r="F16" s="16" t="n">
        <v>0.8382281839512981</v>
      </c>
      <c r="G16" s="26" t="n">
        <v>42.09424720880641</v>
      </c>
    </row>
    <row r="17">
      <c r="A17" s="6" t="n">
        <v>1.631578947368421</v>
      </c>
      <c r="B17" s="12" t="n">
        <v>0.4223363556995107</v>
      </c>
      <c r="C17" s="25" t="n">
        <v>63.82847553610765</v>
      </c>
      <c r="E17" s="6" t="n">
        <v>13.47368421052632</v>
      </c>
      <c r="F17" s="12" t="n">
        <v>1.188225103872571</v>
      </c>
      <c r="G17" s="25" t="n">
        <v>30.83123909344932</v>
      </c>
    </row>
    <row r="18">
      <c r="A18" s="4" t="n">
        <v>1.635263157894737</v>
      </c>
      <c r="B18" s="16" t="n">
        <v>0.5432592614535706</v>
      </c>
      <c r="C18" s="26" t="n">
        <v>53.20376055620365</v>
      </c>
      <c r="E18" s="4" t="n">
        <v>13.57894736842105</v>
      </c>
      <c r="F18" s="16" t="n">
        <v>1.646056902131809</v>
      </c>
      <c r="G18" s="26" t="n">
        <v>22.58046738448446</v>
      </c>
    </row>
    <row r="19">
      <c r="A19" s="6" t="n">
        <v>1.638947368421052</v>
      </c>
      <c r="B19" s="12" t="n">
        <v>0.676446500645109</v>
      </c>
      <c r="C19" s="25" t="n">
        <v>44.36638679472664</v>
      </c>
      <c r="E19" s="6" t="n">
        <v>13.68421052631579</v>
      </c>
      <c r="F19" s="12" t="n">
        <v>2.256566107858075</v>
      </c>
      <c r="G19" s="25" t="n">
        <v>16.53671164543235</v>
      </c>
    </row>
    <row r="20">
      <c r="A20" s="4" t="n">
        <v>1.642631578947368</v>
      </c>
      <c r="B20" s="16" t="n">
        <v>0.8267577595720838</v>
      </c>
      <c r="C20" s="26" t="n">
        <v>37.01252637730013</v>
      </c>
      <c r="E20" s="4" t="n">
        <v>13.78947368421053</v>
      </c>
      <c r="F20" s="16" t="n">
        <v>3.079575199353357</v>
      </c>
      <c r="G20" s="26" t="n">
        <v>12.10989016269789</v>
      </c>
    </row>
    <row r="21">
      <c r="A21" s="6" t="n">
        <v>1.646315789473684</v>
      </c>
      <c r="B21" s="12" t="n">
        <v>0.9980498864620649</v>
      </c>
      <c r="C21" s="25" t="n">
        <v>30.89053348716439</v>
      </c>
      <c r="E21" s="6" t="n">
        <v>13.89473684210526</v>
      </c>
      <c r="F21" s="12" t="n">
        <v>4.195760145140995</v>
      </c>
      <c r="G21" s="25" t="n">
        <v>8.867610452200411</v>
      </c>
    </row>
    <row r="22">
      <c r="A22" s="4" t="n">
        <v>1.65</v>
      </c>
      <c r="B22" s="16" t="n">
        <v>1.19500405378291</v>
      </c>
      <c r="C22" s="26" t="n">
        <v>25.79189053272571</v>
      </c>
      <c r="E22" s="4" t="n">
        <v>14</v>
      </c>
      <c r="F22" s="16" t="n">
        <v>5.714574626158752</v>
      </c>
      <c r="G22" s="26" t="n">
        <v>6.493051879193094</v>
      </c>
    </row>
  </sheetData>
  <mergeCells count="2">
    <mergeCell ref="A1:C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17" customWidth="1" min="4" max="4"/>
  </cols>
  <sheetData>
    <row r="1">
      <c r="A1" s="1" t="inlineStr">
        <is>
          <t>Dimension 1: Spacetime Point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'TAP Model Overview'!$C$5 ^ 0</f>
        <v/>
      </c>
      <c r="C5" s="6">
        <f>'TAP Model Overview'!$C$5 ^ 0</f>
        <v/>
      </c>
      <c r="D5" s="10" t="inlineStr">
        <is>
          <t>dimensionless</t>
        </is>
      </c>
    </row>
    <row r="6">
      <c r="A6" s="27" t="inlineStr">
        <is>
          <t>Description</t>
        </is>
      </c>
      <c r="B6" s="5" t="inlineStr">
        <is>
          <t>Seed/compaction scale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  <col width="17" customWidth="1" min="4" max="4"/>
  </cols>
  <sheetData>
    <row r="1">
      <c r="A1" s="1" t="inlineStr">
        <is>
          <t>Dimension 2: Temporal Phase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'TAP Model Overview'!$C$5 ^ -8</f>
        <v/>
      </c>
      <c r="C5" s="6">
        <f>'TAP Model Overview'!$C$5 ^ -8</f>
        <v/>
      </c>
      <c r="D5" s="10" t="inlineStr">
        <is>
          <t>dimensionless</t>
        </is>
      </c>
    </row>
    <row r="6">
      <c r="A6" s="27" t="inlineStr">
        <is>
          <t>Description</t>
        </is>
      </c>
      <c r="B6" s="5" t="inlineStr">
        <is>
          <t>Time flow entropy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  <col width="17" customWidth="1" min="4" max="4"/>
  </cols>
  <sheetData>
    <row r="1">
      <c r="A1" s="1" t="inlineStr">
        <is>
          <t>Dimension 3: Spatial Brane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PI() * 'TAP Model Overview'!$C$5 ^ -1</f>
        <v/>
      </c>
      <c r="C5" s="6">
        <f>PI() * 'TAP Model Overview'!$C$5 ^ -1</f>
        <v/>
      </c>
      <c r="D5" s="10" t="inlineStr">
        <is>
          <t>dimensionless</t>
        </is>
      </c>
    </row>
    <row r="6">
      <c r="A6" s="27" t="inlineStr">
        <is>
          <t>Description</t>
        </is>
      </c>
      <c r="B6" s="5" t="inlineStr">
        <is>
          <t>Observable 3D space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  <col width="17" customWidth="1" min="4" max="4"/>
  </cols>
  <sheetData>
    <row r="1">
      <c r="A1" s="1" t="inlineStr">
        <is>
          <t>Dimension 4: Relativistic Spacetime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2 * PI() * 'TAP Model Overview'!$C$5 ^ 5</f>
        <v/>
      </c>
      <c r="C5" s="6">
        <f>2 * PI() * 'TAP Model Overview'!$C$5 ^ 5</f>
        <v/>
      </c>
      <c r="D5" s="10" t="inlineStr">
        <is>
          <t>dimensionless</t>
        </is>
      </c>
    </row>
    <row r="6">
      <c r="A6" s="27" t="inlineStr">
        <is>
          <t>Description</t>
        </is>
      </c>
      <c r="B6" s="5" t="inlineStr">
        <is>
          <t>4D spacetime brane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35" customWidth="1" min="2" max="2"/>
    <col width="35" customWidth="1" min="3" max="3"/>
    <col width="17" customWidth="1" min="4" max="4"/>
  </cols>
  <sheetData>
    <row r="1">
      <c r="A1" s="1" t="inlineStr">
        <is>
          <t>Dimension 5: AdS Bulk Channel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'TAP Model Overview'!$C$5 ^ -4</f>
        <v/>
      </c>
      <c r="C5" s="6">
        <f>'TAP Model Overview'!$C$5 ^ -4</f>
        <v/>
      </c>
      <c r="D5" s="10" t="inlineStr">
        <is>
          <t>dimensionless</t>
        </is>
      </c>
    </row>
    <row r="6">
      <c r="A6" s="27" t="inlineStr">
        <is>
          <t>Description</t>
        </is>
      </c>
      <c r="B6" s="5" t="inlineStr">
        <is>
          <t>5D gravity leakage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17" customWidth="1" min="4" max="4"/>
  </cols>
  <sheetData>
    <row r="1">
      <c r="A1" s="1" t="inlineStr">
        <is>
          <t>Dimension 6: Calabi-Yau Base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'TAP Model Overview'!$C$5 ^ 3</f>
        <v/>
      </c>
      <c r="C5" s="6">
        <f>'TAP Model Overview'!$C$5 ^ 3</f>
        <v/>
      </c>
      <c r="D5" s="10" t="inlineStr">
        <is>
          <t>dimensionless</t>
        </is>
      </c>
    </row>
    <row r="6">
      <c r="A6" s="27" t="inlineStr">
        <is>
          <t>Description</t>
        </is>
      </c>
      <c r="B6" s="5" t="inlineStr">
        <is>
          <t>Fermion spin states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  <col width="17" customWidth="1" min="4" max="4"/>
  </cols>
  <sheetData>
    <row r="1">
      <c r="A1" s="1" t="inlineStr">
        <is>
          <t>Dimension 7: M-Theory 7-Sphere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'TAP Model Overview'!$C$5 ^ -13</f>
        <v/>
      </c>
      <c r="C5" s="6">
        <f>'TAP Model Overview'!$C$5 ^ -13</f>
        <v/>
      </c>
      <c r="D5" s="10" t="inlineStr">
        <is>
          <t>dimensionless</t>
        </is>
      </c>
    </row>
    <row r="6">
      <c r="A6" s="27" t="inlineStr">
        <is>
          <t>Description</t>
        </is>
      </c>
      <c r="B6" s="5" t="inlineStr">
        <is>
          <t>Supergravity coords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  <col width="17" customWidth="1" min="4" max="4"/>
  </cols>
  <sheetData>
    <row r="1">
      <c r="A1" s="1" t="inlineStr">
        <is>
          <t>Dimension 8: Boundary Width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'TAP Model Overview'!$C$5 ^ 8</f>
        <v/>
      </c>
      <c r="C5" s="6">
        <f>'TAP Model Overview'!$C$5 ^ 8</f>
        <v/>
      </c>
      <c r="D5" s="10" t="inlineStr">
        <is>
          <t>dimensionless</t>
        </is>
      </c>
    </row>
    <row r="6">
      <c r="A6" s="27" t="inlineStr">
        <is>
          <t>Description</t>
        </is>
      </c>
      <c r="B6" s="5" t="inlineStr">
        <is>
          <t>Fibonacci F_6 scale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7" customWidth="1" min="2" max="2"/>
    <col width="47" customWidth="1" min="3" max="3"/>
    <col width="12" customWidth="1" min="4" max="4"/>
  </cols>
  <sheetData>
    <row r="1">
      <c r="A1" s="1" t="inlineStr">
        <is>
          <t>Dimension 9: Weyl Curvature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1.2e-10 * ('TAP Model Overview'!$C$5 ^ -4)</f>
        <v/>
      </c>
      <c r="C5" s="8">
        <f>1.2e-10 * ('TAP Model Overview'!$C$5 ^ -4)</f>
        <v/>
      </c>
      <c r="D5" s="10" t="inlineStr">
        <is>
          <t>m/s^2</t>
        </is>
      </c>
    </row>
    <row r="6">
      <c r="A6" s="27" t="inlineStr">
        <is>
          <t>Description</t>
        </is>
      </c>
      <c r="B6" s="5" t="inlineStr">
        <is>
          <t>Gravity KK modes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  <col width="14" customWidth="1" min="4" max="4"/>
  </cols>
  <sheetData>
    <row r="1">
      <c r="A1" s="1" t="inlineStr">
        <is>
          <t>Dimension 10: Superstring Base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10 + 3 * 'TAP Model Overview'!$C$5 ^ 0</f>
        <v/>
      </c>
      <c r="C5" s="6">
        <f>10 + 3 * 'TAP Model Overview'!$C$5 ^ 0</f>
        <v/>
      </c>
      <c r="D5" s="10" t="inlineStr">
        <is>
          <t>dimensions</t>
        </is>
      </c>
    </row>
    <row r="6">
      <c r="A6" s="27" t="inlineStr">
        <is>
          <t>Description</t>
        </is>
      </c>
      <c r="B6" s="5" t="inlineStr">
        <is>
          <t>Anomaly cancellation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2" customWidth="1" min="3" max="3"/>
    <col width="14" customWidth="1" min="4" max="4"/>
  </cols>
  <sheetData>
    <row r="1">
      <c r="A1" s="1" t="inlineStr">
        <is>
          <t>Dimension 11: M-Theory Bulk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11.0</f>
        <v/>
      </c>
      <c r="C5" s="6">
        <f>11.0</f>
        <v/>
      </c>
      <c r="D5" s="10" t="inlineStr">
        <is>
          <t>dimensions</t>
        </is>
      </c>
    </row>
    <row r="6">
      <c r="A6" s="27" t="inlineStr">
        <is>
          <t>Description</t>
        </is>
      </c>
      <c r="B6" s="5" t="inlineStr">
        <is>
          <t>11D supergravity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12" customWidth="1" min="3" max="3"/>
    <col width="14" customWidth="1" min="4" max="4"/>
  </cols>
  <sheetData>
    <row r="1">
      <c r="A1" s="1" t="inlineStr">
        <is>
          <t>Dimension 12: F-Theory Projection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12.0</f>
        <v/>
      </c>
      <c r="C5" s="6">
        <f>12.0</f>
        <v/>
      </c>
      <c r="D5" s="10" t="inlineStr">
        <is>
          <t>dimensions</t>
        </is>
      </c>
    </row>
    <row r="6">
      <c r="A6" s="27" t="inlineStr">
        <is>
          <t>Description</t>
        </is>
      </c>
      <c r="B6" s="5" t="inlineStr">
        <is>
          <t>Gauge group bundles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87" customWidth="1" min="2" max="2"/>
    <col width="87" customWidth="1" min="3" max="3"/>
    <col width="17" customWidth="1" min="4" max="4"/>
  </cols>
  <sheetData>
    <row r="1">
      <c r="A1" s="1" t="inlineStr">
        <is>
          <t>Dimension 13: Saturation Ceiling</t>
        </is>
      </c>
    </row>
    <row r="2"/>
    <row r="3"/>
    <row r="4">
      <c r="A4" s="2" t="inlineStr">
        <is>
          <t>Metric / Variable</t>
        </is>
      </c>
      <c r="B4" s="2" t="inlineStr">
        <is>
          <t>Theoretical Formula</t>
        </is>
      </c>
      <c r="C4" s="2" t="inlineStr">
        <is>
          <t>Value</t>
        </is>
      </c>
      <c r="D4" s="2" t="inlineStr">
        <is>
          <t>Unit</t>
        </is>
      </c>
    </row>
    <row r="5">
      <c r="A5" s="5" t="inlineStr">
        <is>
          <t>Primary Scaling Factor</t>
        </is>
      </c>
      <c r="B5" s="5">
        <f>2 * PI() * 'TAP Model Overview'!$C$6 * (1 - 'TAP Model Overview'!$C$5 ^ -9 / PI())</f>
        <v/>
      </c>
      <c r="C5" s="6">
        <f>2 * PI() * 'TAP Model Overview'!$C$6 * (1 - 'TAP Model Overview'!$C$5 ^ -9 / PI())</f>
        <v/>
      </c>
      <c r="D5" s="10" t="inlineStr">
        <is>
          <t>dimensionless</t>
        </is>
      </c>
    </row>
    <row r="6">
      <c r="A6" s="27" t="inlineStr">
        <is>
          <t>Description</t>
        </is>
      </c>
      <c r="B6" s="5" t="inlineStr">
        <is>
          <t>Holographic entropy limit</t>
        </is>
      </c>
      <c r="C6" s="28" t="n"/>
      <c r="D6" s="28" t="n"/>
    </row>
  </sheetData>
  <mergeCells count="2">
    <mergeCell ref="B6:D6"/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2026-06-27T21:50:08Z</dcterms:created>
  <dcterms:modified xmlns:dcterms="http://purl.org/dc/terms/" xmlns:xsi="http://www.w3.org/2001/XMLSchema-instance" xsi:type="dcterms:W3CDTF">2026-06-27T21:50:13Z</dcterms:modified>
</cp:coreProperties>
</file>